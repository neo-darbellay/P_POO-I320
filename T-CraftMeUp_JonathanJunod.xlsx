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e40boh\Documents\GitHub\Craft-Me-Up\"/>
    </mc:Choice>
  </mc:AlternateContent>
  <xr:revisionPtr revIDLastSave="0" documentId="13_ncr:1_{E63A977E-15CA-4337-870D-883F040EB0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Journal" sheetId="18" r:id="rId1"/>
    <sheet name="Restrictions" sheetId="19" r:id="rId2"/>
  </sheets>
  <definedNames>
    <definedName name="_xlnm.Print_Area" localSheetId="0">Journal!$A$1:$G$54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8" l="1"/>
  <c r="D47" i="18"/>
  <c r="D41" i="18"/>
  <c r="D35" i="18"/>
  <c r="D29" i="18"/>
  <c r="D26" i="18"/>
  <c r="D21" i="18"/>
  <c r="D17" i="18"/>
  <c r="D11" i="18"/>
  <c r="D9" i="18"/>
  <c r="C54" i="18" l="1"/>
</calcChain>
</file>

<file path=xl/sharedStrings.xml><?xml version="1.0" encoding="utf-8"?>
<sst xmlns="http://schemas.openxmlformats.org/spreadsheetml/2006/main" count="157" uniqueCount="92">
  <si>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</si>
  <si>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</si>
  <si>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</si>
  <si>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</si>
  <si>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</si>
  <si>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</si>
  <si>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</si>
  <si>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</si>
  <si>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</si>
  <si>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</si>
  <si>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</si>
  <si>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</si>
  <si>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</si>
  <si>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</si>
  <si>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</si>
  <si>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Explications</t>
  </si>
  <si>
    <t>Etats</t>
  </si>
  <si>
    <t>Date de fin</t>
  </si>
  <si>
    <t>Durée totale: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</si>
  <si>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</si>
  <si>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</si>
  <si>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</si>
  <si>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</si>
  <si>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</si>
  <si>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</si>
  <si>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</si>
  <si>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</si>
  <si>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Finished</t>
  </si>
  <si>
    <t>Finished late</t>
  </si>
  <si>
    <t>In the work</t>
  </si>
  <si>
    <t>Not started</t>
  </si>
  <si>
    <t>Setup</t>
  </si>
  <si>
    <t>setting up the work environnement</t>
  </si>
  <si>
    <t>https://github.com/Jonathan150408/Craft-Me-Up</t>
  </si>
  <si>
    <t>Olivera Kobi S.</t>
  </si>
  <si>
    <t>Mid2A / GRP2C</t>
  </si>
  <si>
    <t>Jonathan Junod</t>
  </si>
  <si>
    <t>24p</t>
  </si>
  <si>
    <t>Craft Me Up, un jeu en winforms pour les portes ouvertes</t>
  </si>
  <si>
    <t>INF / DEV / P_Prod</t>
  </si>
  <si>
    <t>Class diagram</t>
  </si>
  <si>
    <t>Creating a diagram for the code's classes</t>
  </si>
  <si>
    <t>Explanations</t>
  </si>
  <si>
    <t>Explanations of the code for me</t>
  </si>
  <si>
    <t>https://eduvaud-my.sharepoint.com/:u:/r/personal/pb62kjx_eduvaud_ch/_layouts/15/Doc.aspx?sourcedoc=%7B5BF0A89E-E3A6-4CD4-BA7E-BFDC17A68BD3%7D&amp;file=P_CraftMeUp_ClassDiagram.vsdx&amp;fromShare=true&amp;action=default&amp;mobileredirect=true</t>
  </si>
  <si>
    <t>Creating a new version of the classes diagram</t>
  </si>
  <si>
    <t>Debating about the code optimization</t>
  </si>
  <si>
    <t>Debating</t>
  </si>
  <si>
    <t>Github project</t>
  </si>
  <si>
    <t xml:space="preserve">Adding a kanban to github </t>
  </si>
  <si>
    <t>Read and complete the CdC written by Neo</t>
  </si>
  <si>
    <t>CdC</t>
  </si>
  <si>
    <t>Coding</t>
  </si>
  <si>
    <t>Correcting the obstacle class</t>
  </si>
  <si>
    <t>https://github.com/users/Jonathan150408/projects/4/views/1</t>
  </si>
  <si>
    <t>Git-problem</t>
  </si>
  <si>
    <t>Solving a problem with the github project issues</t>
  </si>
  <si>
    <t>https://github.com/users/Jonathan150408/projects/6/views/1</t>
  </si>
  <si>
    <t>Updating the classes diagram</t>
  </si>
  <si>
    <t>Correcting Shoot me up</t>
  </si>
  <si>
    <t>Optimizing Shoot me up</t>
  </si>
  <si>
    <t>https://chatgpt.com/</t>
  </si>
  <si>
    <t>Searching</t>
  </si>
  <si>
    <t>Trying to understand how the display can work without pictureboxes</t>
  </si>
  <si>
    <t>trying to understand why the number of frame per second isn't always the same</t>
  </si>
  <si>
    <t>coding</t>
  </si>
  <si>
    <t>correcting the framerate issue</t>
  </si>
  <si>
    <t>Implementing the new random wave generation</t>
  </si>
  <si>
    <t>Implementing the random wave generation system</t>
  </si>
  <si>
    <t>trying to fix the memory leak</t>
  </si>
  <si>
    <t>absent</t>
  </si>
  <si>
    <t>I was supposed to go to Sebeillon but actually not</t>
  </si>
  <si>
    <t>installation</t>
  </si>
  <si>
    <t>Installing visual studio 2026</t>
  </si>
  <si>
    <t>implementing the bosses waves for later (no bosses now)</t>
  </si>
  <si>
    <t>Implementing the pause menu</t>
  </si>
  <si>
    <t>fixing the broken wave generation</t>
  </si>
  <si>
    <t>Jour 9</t>
  </si>
  <si>
    <t>Jour 10</t>
  </si>
  <si>
    <t>Work at home</t>
  </si>
  <si>
    <t>Installing visual studio 2026 om the usual pc</t>
  </si>
  <si>
    <t>Correcting</t>
  </si>
  <si>
    <t>Evaluation</t>
  </si>
  <si>
    <t>Making the evaluation of my project with M. Mveng</t>
  </si>
  <si>
    <t>Correcting the rapport of my mysql project</t>
  </si>
  <si>
    <t xml:space="preserve">Coding </t>
  </si>
  <si>
    <t>Waiting fr Neo to be done, helping him</t>
  </si>
  <si>
    <t>Configuring</t>
  </si>
  <si>
    <t>Installing Visual studio 2026 on a VM</t>
  </si>
  <si>
    <t>Implementing the new spawning rules</t>
  </si>
  <si>
    <t>Testing</t>
  </si>
  <si>
    <t>Testing the 2 new features with 500 sequeletons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</si>
</sst>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1" fillId="0" borderId="2" xfId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2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20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6" fillId="0" borderId="2" xfId="1" applyFont="1" applyBorder="1" applyAlignment="1" applyProtection="1">
      <alignment horizontal="left" vertical="center" wrapText="1"/>
      <protection locked="0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 customBuiltin="1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G56"/>
  <sheetViews>
    <sheetView tabSelected="1" view="pageBreakPreview" zoomScaleNormal="100" zoomScaleSheetLayoutView="100" workbookViewId="0">
      <pane xSplit="3" ySplit="5" topLeftCell="D23" activePane="bottomRight" state="frozen"/>
      <selection pane="topRight" activeCell="D1" sqref="D1"/>
      <selection pane="bottomLeft" activeCell="A2" sqref="A2"/>
      <selection pane="bottomRight" activeCell="C44" sqref="C44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43.7109375" style="1" customWidth="1"/>
    <col min="5" max="5" width="26.28515625" style="1" customWidth="1"/>
    <col min="6" max="6" width="26.28515625" style="21" customWidth="1"/>
    <col min="7" max="7" width="50.7109375" style="1" customWidth="1"/>
    <col min="8" max="8" width="19.5703125" style="1" customWidth="1"/>
    <col min="9" max="9" width="36" style="1" customWidth="1"/>
    <col min="10" max="16384" width="11.42578125" style="1"/>
  </cols>
  <sheetData>
    <row r="1" spans="1:7" ht="21" customHeight="1" thickBot="1" x14ac:dyDescent="0.3">
      <c r="A1" s="16" t="s">
        <v>0</v>
      </c>
      <c r="B1" s="30" t="s">
        <v>36</v>
      </c>
      <c r="C1" s="32"/>
      <c r="D1" s="38" t="s">
        <v>1</v>
      </c>
      <c r="E1" s="39"/>
      <c r="F1" s="36" t="s">
        <v>37</v>
      </c>
      <c r="G1" s="37"/>
    </row>
    <row r="2" spans="1:7" ht="21" customHeight="1" thickBot="1" x14ac:dyDescent="0.3">
      <c r="A2" s="16" t="s">
        <v>2</v>
      </c>
      <c r="B2" s="30" t="s">
        <v>35</v>
      </c>
      <c r="C2" s="32"/>
      <c r="D2" s="38" t="s">
        <v>3</v>
      </c>
      <c r="E2" s="39"/>
      <c r="F2" s="36" t="s">
        <v>4</v>
      </c>
      <c r="G2" s="37"/>
    </row>
    <row r="3" spans="1:7" ht="21" customHeight="1" thickBot="1" x14ac:dyDescent="0.3">
      <c r="A3" s="16" t="s">
        <v>5</v>
      </c>
      <c r="B3" s="30" t="s">
        <v>34</v>
      </c>
      <c r="C3" s="32"/>
      <c r="D3" s="38" t="s">
        <v>6</v>
      </c>
      <c r="E3" s="39"/>
      <c r="F3" s="30" t="s">
        <v>39</v>
      </c>
      <c r="G3" s="32"/>
    </row>
    <row r="4" spans="1:7" ht="21" customHeight="1" thickBot="1" x14ac:dyDescent="0.3">
      <c r="A4" s="16" t="s">
        <v>7</v>
      </c>
      <c r="B4" s="30" t="s">
        <v>38</v>
      </c>
      <c r="C4" s="31"/>
      <c r="D4" s="31"/>
      <c r="E4" s="31"/>
      <c r="F4" s="31"/>
      <c r="G4" s="32"/>
    </row>
    <row r="5" spans="1:7" ht="21" customHeight="1" thickBot="1" x14ac:dyDescent="0.3">
      <c r="A5" s="2" t="s">
        <v>8</v>
      </c>
      <c r="B5" s="3" t="s">
        <v>9</v>
      </c>
      <c r="C5" s="3" t="s">
        <v>10</v>
      </c>
      <c r="D5" s="2" t="s">
        <v>15</v>
      </c>
      <c r="E5" s="2" t="s">
        <v>16</v>
      </c>
      <c r="F5" s="2" t="s">
        <v>17</v>
      </c>
      <c r="G5" s="2" t="s">
        <v>11</v>
      </c>
    </row>
    <row r="6" spans="1:7" ht="18" customHeight="1" x14ac:dyDescent="0.25">
      <c r="A6" s="4" t="s">
        <v>31</v>
      </c>
      <c r="B6" s="33">
        <v>45964</v>
      </c>
      <c r="C6" s="5">
        <v>30</v>
      </c>
      <c r="D6" s="8" t="s">
        <v>32</v>
      </c>
      <c r="E6" s="8" t="s">
        <v>27</v>
      </c>
      <c r="F6" s="24">
        <v>0.59027777777777779</v>
      </c>
      <c r="G6" s="19" t="s">
        <v>33</v>
      </c>
    </row>
    <row r="7" spans="1:7" ht="18" customHeight="1" x14ac:dyDescent="0.25">
      <c r="A7" s="21" t="s">
        <v>42</v>
      </c>
      <c r="B7" s="34"/>
      <c r="C7" s="7">
        <v>35</v>
      </c>
      <c r="D7" s="1" t="s">
        <v>43</v>
      </c>
      <c r="E7" s="8" t="s">
        <v>27</v>
      </c>
      <c r="F7" s="24">
        <v>0.61458333333333337</v>
      </c>
      <c r="G7" s="19"/>
    </row>
    <row r="8" spans="1:7" ht="18" customHeight="1" thickBot="1" x14ac:dyDescent="0.3">
      <c r="A8" s="6" t="s">
        <v>40</v>
      </c>
      <c r="B8" s="34"/>
      <c r="C8" s="7">
        <v>45</v>
      </c>
      <c r="D8" s="8" t="s">
        <v>41</v>
      </c>
      <c r="E8" s="8" t="s">
        <v>27</v>
      </c>
      <c r="F8" s="24">
        <v>0.65625</v>
      </c>
      <c r="G8" s="19" t="s">
        <v>44</v>
      </c>
    </row>
    <row r="9" spans="1:7" ht="18" customHeight="1" thickBot="1" x14ac:dyDescent="0.3">
      <c r="A9" s="11" t="s">
        <v>12</v>
      </c>
      <c r="B9" s="17" t="s">
        <v>19</v>
      </c>
      <c r="C9" s="17" t="s">
        <v>18</v>
      </c>
      <c r="D9" s="28">
        <f>SUM(C6:C8)</f>
        <v>110</v>
      </c>
      <c r="E9" s="28"/>
      <c r="F9" s="28"/>
      <c r="G9" s="29"/>
    </row>
    <row r="10" spans="1:7" ht="18" customHeight="1" thickBot="1" x14ac:dyDescent="0.3">
      <c r="A10" s="4" t="s">
        <v>40</v>
      </c>
      <c r="B10" s="23">
        <v>45970</v>
      </c>
      <c r="C10" s="5">
        <v>30</v>
      </c>
      <c r="D10" s="8" t="s">
        <v>45</v>
      </c>
      <c r="E10" s="8" t="s">
        <v>27</v>
      </c>
      <c r="F10" s="24">
        <v>0.68055555555555547</v>
      </c>
      <c r="G10" s="27" t="s">
        <v>79</v>
      </c>
    </row>
    <row r="11" spans="1:7" ht="18" customHeight="1" thickBot="1" x14ac:dyDescent="0.3">
      <c r="A11" s="11" t="s">
        <v>12</v>
      </c>
      <c r="B11" s="17" t="s">
        <v>20</v>
      </c>
      <c r="C11" s="17" t="s">
        <v>18</v>
      </c>
      <c r="D11" s="28">
        <f>SUM(C10:C10)</f>
        <v>30</v>
      </c>
      <c r="E11" s="28"/>
      <c r="F11" s="28"/>
      <c r="G11" s="29"/>
    </row>
    <row r="12" spans="1:7" ht="18" customHeight="1" x14ac:dyDescent="0.25">
      <c r="A12" s="4" t="s">
        <v>47</v>
      </c>
      <c r="B12" s="33">
        <v>45971</v>
      </c>
      <c r="C12" s="5">
        <v>45</v>
      </c>
      <c r="D12" s="8" t="s">
        <v>46</v>
      </c>
      <c r="E12" s="8" t="s">
        <v>27</v>
      </c>
      <c r="F12" s="24">
        <v>0.57986111111111105</v>
      </c>
      <c r="G12" s="19"/>
    </row>
    <row r="13" spans="1:7" ht="18" customHeight="1" x14ac:dyDescent="0.25">
      <c r="A13" s="6" t="s">
        <v>48</v>
      </c>
      <c r="B13" s="34"/>
      <c r="C13" s="7">
        <v>5</v>
      </c>
      <c r="D13" s="8" t="s">
        <v>49</v>
      </c>
      <c r="E13" s="8" t="s">
        <v>27</v>
      </c>
      <c r="F13" s="24">
        <v>0.58680555555555558</v>
      </c>
      <c r="G13" s="19" t="s">
        <v>54</v>
      </c>
    </row>
    <row r="14" spans="1:7" ht="18" customHeight="1" x14ac:dyDescent="0.25">
      <c r="A14" s="6" t="s">
        <v>51</v>
      </c>
      <c r="B14" s="34"/>
      <c r="C14" s="7">
        <v>10</v>
      </c>
      <c r="D14" s="8" t="s">
        <v>50</v>
      </c>
      <c r="E14" s="8" t="s">
        <v>27</v>
      </c>
      <c r="F14" s="24">
        <v>0.59375</v>
      </c>
      <c r="G14" s="19"/>
    </row>
    <row r="15" spans="1:7" ht="18" customHeight="1" x14ac:dyDescent="0.25">
      <c r="A15" s="6" t="s">
        <v>52</v>
      </c>
      <c r="B15" s="34"/>
      <c r="C15" s="7">
        <v>50</v>
      </c>
      <c r="D15" s="8" t="s">
        <v>53</v>
      </c>
      <c r="E15" s="8" t="s">
        <v>27</v>
      </c>
      <c r="F15" s="24">
        <v>0.65625</v>
      </c>
      <c r="G15" s="19"/>
    </row>
    <row r="16" spans="1:7" ht="18" customHeight="1" thickBot="1" x14ac:dyDescent="0.3">
      <c r="A16" s="9" t="s">
        <v>55</v>
      </c>
      <c r="B16" s="35"/>
      <c r="C16" s="9">
        <v>25</v>
      </c>
      <c r="D16" s="8" t="s">
        <v>56</v>
      </c>
      <c r="E16" s="10" t="s">
        <v>27</v>
      </c>
      <c r="F16" s="24">
        <v>0.61458333333333337</v>
      </c>
      <c r="G16" s="19" t="s">
        <v>57</v>
      </c>
    </row>
    <row r="17" spans="1:7" ht="18" customHeight="1" thickBot="1" x14ac:dyDescent="0.3">
      <c r="A17" s="11" t="s">
        <v>12</v>
      </c>
      <c r="B17" s="17" t="s">
        <v>21</v>
      </c>
      <c r="C17" s="17" t="s">
        <v>18</v>
      </c>
      <c r="D17" s="28">
        <f>SUM(C12:C16)</f>
        <v>135</v>
      </c>
      <c r="E17" s="28"/>
      <c r="F17" s="28"/>
      <c r="G17" s="29"/>
    </row>
    <row r="18" spans="1:7" ht="18" customHeight="1" x14ac:dyDescent="0.25">
      <c r="A18" s="4" t="s">
        <v>40</v>
      </c>
      <c r="B18" s="33">
        <v>45978</v>
      </c>
      <c r="C18" s="5">
        <v>15</v>
      </c>
      <c r="D18" s="8" t="s">
        <v>58</v>
      </c>
      <c r="E18" s="8" t="s">
        <v>27</v>
      </c>
      <c r="F18" s="24">
        <v>0.55902777777777779</v>
      </c>
      <c r="G18" s="19"/>
    </row>
    <row r="19" spans="1:7" ht="18" customHeight="1" x14ac:dyDescent="0.25">
      <c r="A19" s="6" t="s">
        <v>52</v>
      </c>
      <c r="B19" s="34"/>
      <c r="C19" s="7">
        <v>105</v>
      </c>
      <c r="D19" s="1" t="s">
        <v>60</v>
      </c>
      <c r="E19" s="8" t="s">
        <v>27</v>
      </c>
      <c r="F19" s="24">
        <v>0.63888888888888895</v>
      </c>
      <c r="G19" s="19"/>
    </row>
    <row r="20" spans="1:7" ht="18" customHeight="1" thickBot="1" x14ac:dyDescent="0.3">
      <c r="A20" s="6" t="s">
        <v>52</v>
      </c>
      <c r="B20" s="34"/>
      <c r="C20" s="7">
        <v>25</v>
      </c>
      <c r="D20" s="8" t="s">
        <v>59</v>
      </c>
      <c r="E20" s="8" t="s">
        <v>27</v>
      </c>
      <c r="F20" s="24">
        <v>0.64236111111111105</v>
      </c>
      <c r="G20" s="19"/>
    </row>
    <row r="21" spans="1:7" ht="18" customHeight="1" thickBot="1" x14ac:dyDescent="0.3">
      <c r="A21" s="11" t="s">
        <v>12</v>
      </c>
      <c r="B21" s="17" t="s">
        <v>22</v>
      </c>
      <c r="C21" s="17" t="s">
        <v>18</v>
      </c>
      <c r="D21" s="28">
        <f>SUM(C18:C20)</f>
        <v>145</v>
      </c>
      <c r="E21" s="28"/>
      <c r="F21" s="28"/>
      <c r="G21" s="29"/>
    </row>
    <row r="22" spans="1:7" ht="18" customHeight="1" x14ac:dyDescent="0.25">
      <c r="A22" s="4" t="s">
        <v>52</v>
      </c>
      <c r="B22" s="33">
        <v>45985</v>
      </c>
      <c r="C22" s="5">
        <v>40</v>
      </c>
      <c r="D22" s="8" t="s">
        <v>64</v>
      </c>
      <c r="E22" s="8" t="s">
        <v>27</v>
      </c>
      <c r="F22" s="24">
        <v>0.54861111111111105</v>
      </c>
      <c r="G22" s="19" t="s">
        <v>61</v>
      </c>
    </row>
    <row r="23" spans="1:7" ht="18" customHeight="1" x14ac:dyDescent="0.25">
      <c r="A23" s="6" t="s">
        <v>62</v>
      </c>
      <c r="B23" s="34"/>
      <c r="C23" s="7">
        <v>80</v>
      </c>
      <c r="D23" s="8" t="s">
        <v>63</v>
      </c>
      <c r="E23" s="8" t="s">
        <v>27</v>
      </c>
      <c r="F23" s="24">
        <v>0.57638888888888895</v>
      </c>
      <c r="G23" s="19"/>
    </row>
    <row r="24" spans="1:7" ht="18" customHeight="1" x14ac:dyDescent="0.25">
      <c r="A24" s="6" t="s">
        <v>65</v>
      </c>
      <c r="B24" s="34"/>
      <c r="C24" s="7">
        <v>5</v>
      </c>
      <c r="D24" s="8" t="s">
        <v>66</v>
      </c>
      <c r="E24" s="8" t="s">
        <v>27</v>
      </c>
      <c r="F24" s="24">
        <v>0.63888888888888895</v>
      </c>
      <c r="G24" s="19"/>
    </row>
    <row r="25" spans="1:7" ht="18" customHeight="1" thickBot="1" x14ac:dyDescent="0.3">
      <c r="A25" s="6" t="s">
        <v>52</v>
      </c>
      <c r="B25" s="34"/>
      <c r="C25" s="7">
        <v>20</v>
      </c>
      <c r="D25" s="8" t="s">
        <v>67</v>
      </c>
      <c r="E25" s="8" t="s">
        <v>27</v>
      </c>
      <c r="F25" s="24">
        <v>0.65625</v>
      </c>
      <c r="G25" s="19"/>
    </row>
    <row r="26" spans="1:7" ht="18" customHeight="1" thickBot="1" x14ac:dyDescent="0.3">
      <c r="A26" s="11" t="s">
        <v>12</v>
      </c>
      <c r="B26" s="17" t="s">
        <v>23</v>
      </c>
      <c r="C26" s="17" t="s">
        <v>18</v>
      </c>
      <c r="D26" s="28">
        <f>SUM(C22:C25)</f>
        <v>145</v>
      </c>
      <c r="E26" s="28"/>
      <c r="F26" s="28"/>
      <c r="G26" s="29"/>
    </row>
    <row r="27" spans="1:7" ht="18" customHeight="1" x14ac:dyDescent="0.25">
      <c r="A27" s="4" t="s">
        <v>52</v>
      </c>
      <c r="B27" s="33">
        <v>45992</v>
      </c>
      <c r="C27" s="5">
        <v>35</v>
      </c>
      <c r="D27" s="8" t="s">
        <v>68</v>
      </c>
      <c r="E27" s="8" t="s">
        <v>27</v>
      </c>
      <c r="F27" s="24">
        <v>0.57291666666666663</v>
      </c>
      <c r="G27" s="19"/>
    </row>
    <row r="28" spans="1:7" ht="18" customHeight="1" thickBot="1" x14ac:dyDescent="0.3">
      <c r="A28" s="6" t="s">
        <v>52</v>
      </c>
      <c r="B28" s="34"/>
      <c r="C28" s="7">
        <v>105</v>
      </c>
      <c r="D28" s="8" t="s">
        <v>69</v>
      </c>
      <c r="E28" s="8" t="s">
        <v>27</v>
      </c>
      <c r="F28" s="24">
        <v>0.65625</v>
      </c>
      <c r="G28" s="19" t="s">
        <v>61</v>
      </c>
    </row>
    <row r="29" spans="1:7" ht="18" customHeight="1" thickBot="1" x14ac:dyDescent="0.3">
      <c r="A29" s="11" t="s">
        <v>12</v>
      </c>
      <c r="B29" s="17" t="s">
        <v>24</v>
      </c>
      <c r="C29" s="17" t="s">
        <v>18</v>
      </c>
      <c r="D29" s="28">
        <f>SUM(C27:C28)</f>
        <v>140</v>
      </c>
      <c r="E29" s="28"/>
      <c r="F29" s="28"/>
      <c r="G29" s="29"/>
    </row>
    <row r="30" spans="1:7" ht="18" customHeight="1" x14ac:dyDescent="0.25">
      <c r="A30" s="4" t="s">
        <v>70</v>
      </c>
      <c r="B30" s="33">
        <v>45999</v>
      </c>
      <c r="C30" s="5">
        <v>25</v>
      </c>
      <c r="D30" s="8" t="s">
        <v>71</v>
      </c>
      <c r="E30" s="8" t="s">
        <v>27</v>
      </c>
      <c r="F30" s="24">
        <v>0.35069444444444442</v>
      </c>
      <c r="G30" s="19"/>
    </row>
    <row r="31" spans="1:7" ht="18" customHeight="1" x14ac:dyDescent="0.25">
      <c r="A31" s="6" t="s">
        <v>72</v>
      </c>
      <c r="B31" s="34"/>
      <c r="C31" s="7">
        <v>35</v>
      </c>
      <c r="D31" s="8" t="s">
        <v>73</v>
      </c>
      <c r="E31" s="8" t="s">
        <v>27</v>
      </c>
      <c r="F31" s="24">
        <v>0.375</v>
      </c>
      <c r="G31" s="19"/>
    </row>
    <row r="32" spans="1:7" ht="18" customHeight="1" x14ac:dyDescent="0.25">
      <c r="A32" s="6" t="s">
        <v>52</v>
      </c>
      <c r="B32" s="34"/>
      <c r="C32" s="7">
        <v>25</v>
      </c>
      <c r="D32" s="8" t="s">
        <v>74</v>
      </c>
      <c r="E32" s="8" t="s">
        <v>27</v>
      </c>
      <c r="F32" s="24">
        <v>0.3923611111111111</v>
      </c>
      <c r="G32" s="19"/>
    </row>
    <row r="33" spans="1:7" ht="18" customHeight="1" x14ac:dyDescent="0.25">
      <c r="A33" s="6" t="s">
        <v>52</v>
      </c>
      <c r="B33" s="34"/>
      <c r="C33" s="7">
        <v>45</v>
      </c>
      <c r="D33" s="8" t="s">
        <v>75</v>
      </c>
      <c r="E33" s="8" t="s">
        <v>27</v>
      </c>
      <c r="F33" s="24">
        <v>0.43402777777777773</v>
      </c>
      <c r="G33" s="19"/>
    </row>
    <row r="34" spans="1:7" ht="18" customHeight="1" thickBot="1" x14ac:dyDescent="0.3">
      <c r="A34" s="9" t="s">
        <v>52</v>
      </c>
      <c r="B34" s="35"/>
      <c r="C34" s="9">
        <v>15</v>
      </c>
      <c r="D34" s="8" t="s">
        <v>76</v>
      </c>
      <c r="E34" s="10" t="s">
        <v>27</v>
      </c>
      <c r="F34" s="24">
        <v>0.44444444444444442</v>
      </c>
      <c r="G34" s="19"/>
    </row>
    <row r="35" spans="1:7" ht="18" customHeight="1" thickBot="1" x14ac:dyDescent="0.3">
      <c r="A35" s="11" t="s">
        <v>12</v>
      </c>
      <c r="B35" s="17" t="s">
        <v>25</v>
      </c>
      <c r="C35" s="17" t="s">
        <v>18</v>
      </c>
      <c r="D35" s="28">
        <f>SUM(C30:C34)</f>
        <v>145</v>
      </c>
      <c r="E35" s="28"/>
      <c r="F35" s="28"/>
      <c r="G35" s="29"/>
    </row>
    <row r="36" spans="1:7" ht="18" customHeight="1" x14ac:dyDescent="0.25">
      <c r="A36" s="4" t="s">
        <v>72</v>
      </c>
      <c r="B36" s="33">
        <v>46006</v>
      </c>
      <c r="C36" s="5">
        <v>5</v>
      </c>
      <c r="D36" s="8" t="s">
        <v>80</v>
      </c>
      <c r="E36" s="8" t="s">
        <v>27</v>
      </c>
      <c r="F36" s="24">
        <v>0.55208333333333337</v>
      </c>
      <c r="G36" s="19"/>
    </row>
    <row r="37" spans="1:7" ht="18" customHeight="1" x14ac:dyDescent="0.25">
      <c r="A37" s="6" t="s">
        <v>82</v>
      </c>
      <c r="B37" s="34"/>
      <c r="C37" s="7">
        <v>25</v>
      </c>
      <c r="D37" s="8" t="s">
        <v>83</v>
      </c>
      <c r="E37" s="8" t="s">
        <v>27</v>
      </c>
      <c r="F37" s="24">
        <v>0.56944444444444442</v>
      </c>
      <c r="G37" s="19"/>
    </row>
    <row r="38" spans="1:7" ht="18" customHeight="1" x14ac:dyDescent="0.25">
      <c r="A38" s="6" t="s">
        <v>81</v>
      </c>
      <c r="B38" s="34"/>
      <c r="C38" s="7">
        <v>45</v>
      </c>
      <c r="D38" s="8" t="s">
        <v>84</v>
      </c>
      <c r="E38" s="8" t="s">
        <v>27</v>
      </c>
      <c r="F38" s="24">
        <v>0.60069444444444442</v>
      </c>
      <c r="G38" s="19"/>
    </row>
    <row r="39" spans="1:7" ht="18" customHeight="1" x14ac:dyDescent="0.25">
      <c r="A39" s="21" t="s">
        <v>47</v>
      </c>
      <c r="B39" s="34"/>
      <c r="C39" s="7">
        <v>35</v>
      </c>
      <c r="D39" s="1" t="s">
        <v>86</v>
      </c>
      <c r="E39" s="8" t="s">
        <v>27</v>
      </c>
      <c r="F39" s="24">
        <v>0.63541666666666663</v>
      </c>
      <c r="G39" s="19"/>
    </row>
    <row r="40" spans="1:7" ht="18" customHeight="1" thickBot="1" x14ac:dyDescent="0.3">
      <c r="A40" s="6" t="s">
        <v>85</v>
      </c>
      <c r="B40" s="35"/>
      <c r="C40" s="9">
        <v>30</v>
      </c>
      <c r="D40" s="8" t="s">
        <v>75</v>
      </c>
      <c r="E40" s="10" t="s">
        <v>27</v>
      </c>
      <c r="F40" s="24">
        <v>0.65625</v>
      </c>
      <c r="G40" s="19"/>
    </row>
    <row r="41" spans="1:7" ht="18" customHeight="1" thickBot="1" x14ac:dyDescent="0.3">
      <c r="A41" s="11" t="s">
        <v>12</v>
      </c>
      <c r="B41" s="17" t="s">
        <v>26</v>
      </c>
      <c r="C41" s="17" t="s">
        <v>18</v>
      </c>
      <c r="D41" s="25">
        <f>SUM(C36:C40)</f>
        <v>140</v>
      </c>
      <c r="E41" s="25"/>
      <c r="F41" s="25"/>
      <c r="G41" s="26"/>
    </row>
    <row r="42" spans="1:7" ht="18" customHeight="1" x14ac:dyDescent="0.25">
      <c r="A42" s="4" t="s">
        <v>87</v>
      </c>
      <c r="B42" s="33">
        <v>46027</v>
      </c>
      <c r="C42" s="5">
        <v>85</v>
      </c>
      <c r="D42" s="8" t="s">
        <v>88</v>
      </c>
      <c r="E42" s="8" t="s">
        <v>27</v>
      </c>
      <c r="F42" s="24">
        <v>0.60763888888888895</v>
      </c>
      <c r="G42" s="19"/>
    </row>
    <row r="43" spans="1:7" ht="18" customHeight="1" x14ac:dyDescent="0.25">
      <c r="A43" s="6" t="s">
        <v>52</v>
      </c>
      <c r="B43" s="34"/>
      <c r="C43" s="7">
        <v>35</v>
      </c>
      <c r="D43" s="8" t="s">
        <v>89</v>
      </c>
      <c r="E43" s="8" t="s">
        <v>27</v>
      </c>
      <c r="F43" s="24">
        <v>0.64236111111111105</v>
      </c>
      <c r="G43" s="19"/>
    </row>
    <row r="44" spans="1:7" ht="18" customHeight="1" x14ac:dyDescent="0.25">
      <c r="A44" s="6" t="s">
        <v>90</v>
      </c>
      <c r="B44" s="34"/>
      <c r="C44" s="7">
        <v>20</v>
      </c>
      <c r="D44" s="8" t="s">
        <v>91</v>
      </c>
      <c r="E44" s="8" t="s">
        <v>27</v>
      </c>
      <c r="F44" s="24">
        <v>0.65625</v>
      </c>
      <c r="G44" s="19"/>
    </row>
    <row r="45" spans="1:7" ht="18" customHeight="1" x14ac:dyDescent="0.25">
      <c r="A45" s="6"/>
      <c r="B45" s="34"/>
      <c r="C45" s="7"/>
      <c r="D45" s="8"/>
      <c r="E45" s="8"/>
      <c r="F45" s="7"/>
      <c r="G45" s="19"/>
    </row>
    <row r="46" spans="1:7" ht="18" customHeight="1" thickBot="1" x14ac:dyDescent="0.3">
      <c r="A46" s="9"/>
      <c r="B46" s="35"/>
      <c r="C46" s="9"/>
      <c r="D46" s="8"/>
      <c r="E46" s="10"/>
      <c r="F46" s="7"/>
      <c r="G46" s="19"/>
    </row>
    <row r="47" spans="1:7" ht="18" customHeight="1" thickBot="1" x14ac:dyDescent="0.3">
      <c r="A47" s="11" t="s">
        <v>12</v>
      </c>
      <c r="B47" s="17" t="s">
        <v>77</v>
      </c>
      <c r="C47" s="17" t="s">
        <v>18</v>
      </c>
      <c r="D47" s="25">
        <f>SUM(C42:C46)</f>
        <v>140</v>
      </c>
      <c r="E47" s="25"/>
      <c r="F47" s="25"/>
      <c r="G47" s="26"/>
    </row>
    <row r="48" spans="1:7" ht="18" customHeight="1" x14ac:dyDescent="0.25">
      <c r="A48" s="4"/>
      <c r="B48" s="33"/>
      <c r="C48" s="5"/>
      <c r="D48" s="8"/>
      <c r="E48" s="8"/>
      <c r="F48" s="22"/>
      <c r="G48" s="19"/>
    </row>
    <row r="49" spans="1:7" ht="18" customHeight="1" x14ac:dyDescent="0.25">
      <c r="A49" s="6"/>
      <c r="B49" s="34"/>
      <c r="C49" s="7"/>
      <c r="D49" s="8"/>
      <c r="E49" s="8"/>
      <c r="F49" s="22"/>
      <c r="G49" s="19"/>
    </row>
    <row r="50" spans="1:7" ht="18" customHeight="1" x14ac:dyDescent="0.25">
      <c r="A50" s="6"/>
      <c r="B50" s="34"/>
      <c r="C50" s="7"/>
      <c r="D50" s="8"/>
      <c r="E50" s="8"/>
      <c r="F50" s="7"/>
      <c r="G50" s="19"/>
    </row>
    <row r="51" spans="1:7" ht="18" customHeight="1" x14ac:dyDescent="0.25">
      <c r="A51" s="6"/>
      <c r="B51" s="34"/>
      <c r="C51" s="7"/>
      <c r="D51" s="8"/>
      <c r="E51" s="8"/>
      <c r="F51" s="7"/>
      <c r="G51" s="19"/>
    </row>
    <row r="52" spans="1:7" ht="18" customHeight="1" thickBot="1" x14ac:dyDescent="0.3">
      <c r="A52" s="9"/>
      <c r="B52" s="35"/>
      <c r="C52" s="9"/>
      <c r="D52" s="8"/>
      <c r="E52" s="10"/>
      <c r="F52" s="7"/>
      <c r="G52" s="19"/>
    </row>
    <row r="53" spans="1:7" ht="18" customHeight="1" thickBot="1" x14ac:dyDescent="0.3">
      <c r="A53" s="11" t="s">
        <v>12</v>
      </c>
      <c r="B53" s="17" t="s">
        <v>78</v>
      </c>
      <c r="C53" s="17" t="s">
        <v>18</v>
      </c>
      <c r="D53" s="25">
        <f>SUM(C48:C52)</f>
        <v>0</v>
      </c>
      <c r="E53" s="25"/>
      <c r="F53" s="25"/>
      <c r="G53" s="26"/>
    </row>
    <row r="54" spans="1:7" ht="21" customHeight="1" thickBot="1" x14ac:dyDescent="0.3">
      <c r="A54" s="40" t="s">
        <v>13</v>
      </c>
      <c r="B54" s="41"/>
      <c r="C54" s="12">
        <f>MROUND(SUM(C6:C41) /60,0.2)</f>
        <v>16.600000000000001</v>
      </c>
      <c r="D54" s="13"/>
      <c r="E54" s="18"/>
      <c r="F54" s="20"/>
      <c r="G54" s="14"/>
    </row>
    <row r="55" spans="1:7" x14ac:dyDescent="0.25">
      <c r="A55" s="15" t="s">
        <v>14</v>
      </c>
    </row>
    <row r="56" spans="1:7" x14ac:dyDescent="0.25">
      <c r="A56" s="15"/>
    </row>
  </sheetData>
  <mergeCells count="27">
    <mergeCell ref="B18:B20"/>
    <mergeCell ref="B22:B25"/>
    <mergeCell ref="B27:B28"/>
    <mergeCell ref="A54:B54"/>
    <mergeCell ref="B30:B34"/>
    <mergeCell ref="B36:B40"/>
    <mergeCell ref="B48:B52"/>
    <mergeCell ref="B42:B46"/>
    <mergeCell ref="B4:G4"/>
    <mergeCell ref="B6:B8"/>
    <mergeCell ref="B12:B16"/>
    <mergeCell ref="F1:G1"/>
    <mergeCell ref="D1:E1"/>
    <mergeCell ref="D2:E2"/>
    <mergeCell ref="D3:E3"/>
    <mergeCell ref="B1:C1"/>
    <mergeCell ref="B2:C2"/>
    <mergeCell ref="B3:C3"/>
    <mergeCell ref="F2:G2"/>
    <mergeCell ref="F3:G3"/>
    <mergeCell ref="D21:G21"/>
    <mergeCell ref="D26:G26"/>
    <mergeCell ref="D29:G29"/>
    <mergeCell ref="D35:G35"/>
    <mergeCell ref="D9:G9"/>
    <mergeCell ref="D11:G11"/>
    <mergeCell ref="D17:G17"/>
  </mergeCells>
  <dataValidations count="2">
    <dataValidation type="whole" operator="greaterThan" allowBlank="1" showInputMessage="1" showErrorMessage="1" errorTitle="Durée par tranche de 10min" error="Le nombre doit être de type entier" sqref="C18:C20 C27:C28 C30:C34 C12:C16 B6 C10 C22:C25 C6:C8 C36:C40 C42:C46 C48:C52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0 B12:B16 B22:B25 B27:B28 B30:B34 B18:B20 B42 B48 B36" xr:uid="{7694F886-C01B-440C-B6C8-5FF698F43C26}">
      <formula1>45261</formula1>
    </dataValidation>
  </dataValidations>
  <hyperlinks>
    <hyperlink ref="G28" r:id="rId1" xr:uid="{16D500E2-F10E-4EDF-9AB5-CBC9CC38D0A3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2"/>
  <headerFooter>
    <oddHeader>&amp;L&amp;"Etml_font,Normal"&amp;22ETML&amp;R&amp;G</oddHeader>
    <oddFooter>&amp;L&amp;14&amp;D&amp;R&amp;14Journal</oddFoot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57C84C53-B905-437D-BEEF-7124C39AA062}">
            <xm:f>NOT(ISERROR(SEARCH(Restrictions!$B$1,A1)))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A4:E6 E7 A8:E8 A10:E10 A12:E16 A18:E18 E19:E20 A22:E25 A27:E28 A30:E34 A36:E36 C37:E38 E39 C40:E40 A54:E1048576 A42:E42 C43:E46 A48:E48 C49:E52 A1:D3 F1:F3 G4:G8 B7:C7 A9:D9 A11:D11 A17:D17 F18:G20 A19:C19 A20:D21 A26:D26 A29:D29 A35:D35 A37:A38 C39 A40 A41:D41 A43:A46 A47:D47 A49:A52 A53:D53 G54:G1048576</xm:sqref>
        </x14:conditionalFormatting>
        <x14:conditionalFormatting xmlns:xm="http://schemas.microsoft.com/office/excel/2006/main">
          <x14:cfRule type="endsWith" priority="19" operator="endsWith" id="{FA4647AC-51FE-4597-AE79-DF1EBCADBA52}">
            <xm:f>RIGHT(E4,LEN(Restrictions!$A$1))=Restrictions!$A$1</xm:f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ontainsText" priority="21" operator="containsText" id="{CA908F4B-0D6A-49FA-81F5-C1AAB26EE444}">
            <xm:f>NOT(ISERROR(SEARCH(Restrictions!$C$1,E4)))</xm:f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BC07C843-4761-4226-B9B3-580ED2061AC2}">
            <xm:f>NOT(ISERROR(SEARCH(Restrictions!$D$1,E4)))</xm:f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E4:E8 E10 E12:E16 E18:E20 E22:E25 E27:E28 E30:E34 E36:E40 E54:E1048576</xm:sqref>
        </x14:conditionalFormatting>
        <x14:conditionalFormatting xmlns:xm="http://schemas.microsoft.com/office/excel/2006/main">
          <x14:cfRule type="endsWith" priority="6" operator="endsWith" id="{0824E982-851B-43C9-93B9-AD66F1F6D9D3}">
            <xm:f>RIGHT(E42,LEN(Restrictions!$A$1))=Restrictions!$A$1</xm:f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DAC71B9F-704A-4AC1-91D2-AA157FC6C941}">
            <xm:f>NOT(ISERROR(SEARCH(Restrictions!$C$1,E42)))</xm:f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ontainsText" priority="8" operator="containsText" id="{8CD92D65-DB99-48C3-817C-584F5DCFC949}">
            <xm:f>NOT(ISERROR(SEARCH(Restrictions!$D$1,E42)))</xm:f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E42:E46</xm:sqref>
        </x14:conditionalFormatting>
        <x14:conditionalFormatting xmlns:xm="http://schemas.microsoft.com/office/excel/2006/main">
          <x14:cfRule type="endsWith" priority="2" operator="endsWith" id="{6BD03225-AC35-4EF8-9778-8E33BBCD2312}">
            <xm:f>RIGHT(E48,LEN(Restrictions!$A$1))=Restrictions!$A$1</xm:f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B31645C9-5C3F-46FD-8679-03B668B2A898}">
            <xm:f>NOT(ISERROR(SEARCH(Restrictions!$C$1,E48)))</xm:f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id="{366832FF-CB44-44C1-A820-1FEC74D360A4}">
            <xm:f>NOT(ISERROR(SEARCH(Restrictions!$D$1,E48)))</xm:f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E48:E52</xm:sqref>
        </x14:conditionalFormatting>
        <x14:conditionalFormatting xmlns:xm="http://schemas.microsoft.com/office/excel/2006/main">
          <x14:cfRule type="containsText" priority="16" operator="containsText" id="{FD0F452B-B2F8-4F75-A8CD-A69AC0834E64}">
            <xm:f>NOT(ISERROR(SEARCH(Restrictions!$B$1,F6)))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F6:F8</xm:sqref>
        </x14:conditionalFormatting>
        <x14:conditionalFormatting xmlns:xm="http://schemas.microsoft.com/office/excel/2006/main">
          <x14:cfRule type="containsText" priority="15" operator="containsText" id="{88417B48-EA26-4D48-9EFE-B6A1E5C426AE}">
            <xm:f>NOT(ISERROR(SEARCH(Restrictions!$B$1,F10)))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F10:G10</xm:sqref>
        </x14:conditionalFormatting>
        <x14:conditionalFormatting xmlns:xm="http://schemas.microsoft.com/office/excel/2006/main">
          <x14:cfRule type="containsText" priority="14" operator="containsText" id="{6407061A-B268-44CE-A52C-133739941B16}">
            <xm:f>NOT(ISERROR(SEARCH(Restrictions!$B$1,F12)))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F12:G16</xm:sqref>
        </x14:conditionalFormatting>
        <x14:conditionalFormatting xmlns:xm="http://schemas.microsoft.com/office/excel/2006/main">
          <x14:cfRule type="containsText" priority="12" operator="containsText" id="{E988FD75-2909-4816-91C7-1018002A435D}">
            <xm:f>NOT(ISERROR(SEARCH(Restrictions!$B$1,F22)))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F22:G25</xm:sqref>
        </x14:conditionalFormatting>
        <x14:conditionalFormatting xmlns:xm="http://schemas.microsoft.com/office/excel/2006/main">
          <x14:cfRule type="containsText" priority="11" operator="containsText" id="{D5B6D5DF-9E2A-4C4B-BA82-97D983766AEE}">
            <xm:f>NOT(ISERROR(SEARCH(Restrictions!$B$1,F27)))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F27:G28</xm:sqref>
        </x14:conditionalFormatting>
        <x14:conditionalFormatting xmlns:xm="http://schemas.microsoft.com/office/excel/2006/main">
          <x14:cfRule type="containsText" priority="10" operator="containsText" id="{1555D56B-E8B5-4F0A-9D80-B2C1016EB105}">
            <xm:f>NOT(ISERROR(SEARCH(Restrictions!$B$1,F30)))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F30:G34</xm:sqref>
        </x14:conditionalFormatting>
        <x14:conditionalFormatting xmlns:xm="http://schemas.microsoft.com/office/excel/2006/main">
          <x14:cfRule type="containsText" priority="9" operator="containsText" id="{2F0F41F7-8C93-48A6-B013-C45F8E29AE34}">
            <xm:f>NOT(ISERROR(SEARCH(Restrictions!$B$1,F36)))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F36:G40</xm:sqref>
        </x14:conditionalFormatting>
        <x14:conditionalFormatting xmlns:xm="http://schemas.microsoft.com/office/excel/2006/main">
          <x14:cfRule type="containsText" priority="5" operator="containsText" id="{B54B1C5A-0B7C-448A-BE0F-9080E524C8FF}">
            <xm:f>NOT(ISERROR(SEARCH(Restrictions!$B$1,F42)))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F42:G46</xm:sqref>
        </x14:conditionalFormatting>
        <x14:conditionalFormatting xmlns:xm="http://schemas.microsoft.com/office/excel/2006/main">
          <x14:cfRule type="containsText" priority="1" operator="containsText" id="{DB2561A6-E98C-40A3-A9DD-B3F8BB3F76A0}">
            <xm:f>NOT(ISERROR(SEARCH(Restrictions!$B$1,F48)))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F48:G52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1ED1A-D9E7-4F6F-A32A-17EE6B774A99}">
          <x14:formula1>
            <xm:f>Restrictions!$A$1:$D$1</xm:f>
          </x14:formula1>
          <xm:sqref>E1:E4 E6:E8 E10 E12:E16 E22:E25 E27:E28 E30:E34 E18:E20 E54:E1048576 E36:E40 E42:E46 E48:E52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185-8505-495A-B1CC-27F1C88988D0}">
  <dimension ref="A1:D1"/>
  <sheetViews>
    <sheetView workbookViewId="0"/>
  </sheetViews>
  <sheetFormatPr baseColWidth="10" defaultRowHeight="13.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0758-7132-46a4-a2fe-7a2cf46f51f4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B8F5EAAC22C48A11F5D9A60E6F21D" ma:contentTypeVersion="16" ma:contentTypeDescription="Crée un document." ma:contentTypeScope="" ma:versionID="f2b963976306cc54294b7f4545a3c6c4">
  <xsd:schema xmlns:xsd="http://www.w3.org/2001/XMLSchema" xmlns:xs="http://www.w3.org/2001/XMLSchema" xmlns:p="http://schemas.microsoft.com/office/2006/metadata/properties" xmlns:ns2="a1b10758-7132-46a4-a2fe-7a2cf46f51f4" xmlns:ns3="f7d9f5a6-831d-4621-8c77-cbcaf993e406" targetNamespace="http://schemas.microsoft.com/office/2006/metadata/properties" ma:root="true" ma:fieldsID="e5e135fa2fc1295e1586ddcd9c1a8904" ns2:_="" ns3:_="">
    <xsd:import namespace="a1b10758-7132-46a4-a2fe-7a2cf46f51f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0758-7132-46a4-a2fe-7a2cf46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5ae18fe-e647-4d3d-978d-a159861f0a34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F7E92-72FE-4C94-B42F-AE9EA593DE95}">
  <ds:schemaRefs>
    <ds:schemaRef ds:uri="http://schemas.microsoft.com/office/2006/metadata/properties"/>
    <ds:schemaRef ds:uri="http://schemas.microsoft.com/office/infopath/2007/PartnerControls"/>
    <ds:schemaRef ds:uri="a1b10758-7132-46a4-a2fe-7a2cf46f51f4"/>
    <ds:schemaRef ds:uri="f7d9f5a6-831d-4621-8c77-cbcaf993e406"/>
  </ds:schemaRefs>
</ds:datastoreItem>
</file>

<file path=customXml/itemProps3.xml><?xml version="1.0" encoding="utf-8"?>
<ds:datastoreItem xmlns:ds="http://schemas.openxmlformats.org/officeDocument/2006/customXml" ds:itemID="{40597E6F-FA73-4A07-893F-099FDC15B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0758-7132-46a4-a2fe-7a2cf46f51f4"/>
    <ds:schemaRef ds:uri="f7d9f5a6-831d-4621-8c77-cbcaf993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</vt:lpstr>
      <vt:lpstr>Restrictions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T-CraftMeUp_JonathanJunod</dc:title>
  <dc:subject>Journal de travail</dc:subject>
  <dc:creator>Jonathan Junod</dc:creator>
  <cp:keywords/>
  <dc:description/>
  <cp:lastModifiedBy>Jonathan Junod</cp:lastModifiedBy>
  <cp:revision/>
  <dcterms:created xsi:type="dcterms:W3CDTF">1996-10-21T11:03:58Z</dcterms:created>
  <dcterms:modified xsi:type="dcterms:W3CDTF">2026-01-05T14:46:27Z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0x0101005A5B8F5EAAC22C48A11F5D9A60E6F21D</vt:lpwstr>
  </property>
</Properties>
</file>