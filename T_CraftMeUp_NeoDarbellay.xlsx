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01Modules\02Deuxieme_Annee\P_Prod\CraftMeUp\Craft-Me-Up\"/>
    </mc:Choice>
  </mc:AlternateContent>
  <xr:revisionPtr revIDLastSave="0" documentId="13_ncr:1_{5E301384-46BD-49B1-BEBF-2CD2C6DFECB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Journal" sheetId="18" r:id="rId1"/>
    <sheet name="Restrictions" sheetId="19" r:id="rId2"/>
  </sheets>
  <definedNames>
    <definedName name="_xlnm.Print_Area" localSheetId="0">Journal!$A$1:$G$97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18" l="1"/>
  <c r="D96" i="18"/>
  <c r="D90" i="18"/>
  <c r="D85" i="18"/>
  <c r="D64" i="18"/>
  <c r="D59" i="18"/>
  <c r="D56" i="18"/>
  <c r="D70" i="18"/>
  <c r="D75" i="18"/>
  <c r="D45" i="18"/>
  <c r="D43" i="18"/>
  <c r="D52" i="18"/>
  <c r="D40" i="18"/>
  <c r="D30" i="18"/>
  <c r="D26" i="18"/>
  <c r="D22" i="18"/>
  <c r="D19" i="18"/>
  <c r="D15" i="18"/>
  <c r="D9" i="18"/>
  <c r="C97" i="18" l="1"/>
</calcChain>
</file>

<file path=xl/sharedStrings.xml><?xml version="1.0" encoding="utf-8"?>
<sst xmlns="http://schemas.openxmlformats.org/spreadsheetml/2006/main" count="334" uniqueCount="158">
  <si>
    <t>Experts </t>
  </si>
  <si>
    <t>-</t>
  </si>
  <si>
    <t>Dates</t>
  </si>
  <si>
    <t>Néo Darbellay</t>
  </si>
  <si>
    <t>CID2A/GRP2C</t>
  </si>
  <si>
    <t>56p</t>
  </si>
  <si>
    <t>Craft Me Up</t>
  </si>
  <si>
    <t>Setting up the work environment</t>
  </si>
  <si>
    <t>Setup</t>
  </si>
  <si>
    <t>Finished</t>
  </si>
  <si>
    <t>In the work</t>
  </si>
  <si>
    <t>Not started</t>
  </si>
  <si>
    <t>https://github.com/Jonathan150408/Craft-Me-Up</t>
  </si>
  <si>
    <t>INF / DEV / P_Prod</t>
  </si>
  <si>
    <t>Class diagram</t>
  </si>
  <si>
    <t>Creating a diagram for every class</t>
  </si>
  <si>
    <t>Explanation of the code</t>
  </si>
  <si>
    <t>Explanations</t>
  </si>
  <si>
    <t>Not everything is done, will be finished next session</t>
  </si>
  <si>
    <t>Finishing the class diagrams</t>
  </si>
  <si>
    <t>Not finished</t>
  </si>
  <si>
    <t>Writing</t>
  </si>
  <si>
    <t>Backlog</t>
  </si>
  <si>
    <t>This may get changed later, as this was done without Jonathan's approval, as he wasn't there</t>
  </si>
  <si>
    <t>This was done in a .txt file originally, as the GitHub Project wasn't set up yet and I cannot create it</t>
  </si>
  <si>
    <t>Designing</t>
  </si>
  <si>
    <t>Writing 4 new issues</t>
  </si>
  <si>
    <t>Designing 4 images for the new issues</t>
  </si>
  <si>
    <t>Coding</t>
  </si>
  <si>
    <t>Started working on the code optimization</t>
  </si>
  <si>
    <t>Debating on code optimization</t>
  </si>
  <si>
    <t>Debating</t>
  </si>
  <si>
    <t>Writing the product specifications</t>
  </si>
  <si>
    <t>This was used for the new class diagrams</t>
  </si>
  <si>
    <t>Writing the fifth issue &amp; adding the previous ones to GitHub Project</t>
  </si>
  <si>
    <t>This took a while, as GitHub decided to disable issues in the project.</t>
  </si>
  <si>
    <t>Continuing code optimization</t>
  </si>
  <si>
    <t>Other</t>
  </si>
  <si>
    <t>All progress here has been reset as the PC's power source got turned off by a classmate.</t>
  </si>
  <si>
    <t>Working on a presentation for another class</t>
  </si>
  <si>
    <t>I'm not adding the duration, as this wasn't part of the project. However, it did take up some of the allocated project time. I'll take time off during a weekend to compensate for it.</t>
  </si>
  <si>
    <t>Character.cs, Projectile.cs, Obstacle.cs</t>
  </si>
  <si>
    <t>Enemy.cs, along with fixes for Character, Projectile and Obstacle.</t>
  </si>
  <si>
    <t>Analyzing the code to see if I missed anything that could be optimized</t>
  </si>
  <si>
    <t>Implementing Jonathan's optimisation</t>
  </si>
  <si>
    <t>Still needs some fixing</t>
  </si>
  <si>
    <t>Fixing rendering issues with the new system</t>
  </si>
  <si>
    <t>Fixing projectiles with the new system</t>
  </si>
  <si>
    <t>Since the optimization was so big, a lot of things broke and had to be changed
There are still some issues, but I'll need Jonathan to help out</t>
  </si>
  <si>
    <t>They shoot again, but have some issues that will need more fixing</t>
  </si>
  <si>
    <t>Re-adding health bar visuals (obstacle, characters)</t>
  </si>
  <si>
    <t>Fixing an issue with zombies teleporting to 0 0</t>
  </si>
  <si>
    <t>Testing the old app to see if it was easier to fix than the current one</t>
  </si>
  <si>
    <t>V1 used DrawImage instead of Picturebox, which isn't as resource-heavy.</t>
  </si>
  <si>
    <t>Re-implementing the old CFrame system</t>
  </si>
  <si>
    <t>Adapting Enemy to work with the new CFrame system</t>
  </si>
  <si>
    <t>Adapting Character to work with the new CFrame system</t>
  </si>
  <si>
    <t>Adapting Obstacle to work with the new CFrame system</t>
  </si>
  <si>
    <t>Adapting Projectile to work with the new CFrame system</t>
  </si>
  <si>
    <t>Writing 1 new issue</t>
  </si>
  <si>
    <t>Designing an image for the new issue</t>
  </si>
  <si>
    <t>Will finish it tomorrow</t>
  </si>
  <si>
    <t>Continuation of the new issue's design</t>
  </si>
  <si>
    <t>Adapting the main program to work with the new CFrame system</t>
  </si>
  <si>
    <t>This took a while, as there was a big memory leak to fix. I also made the camera follow the player during that time. This is not finished yet.</t>
  </si>
  <si>
    <t>Fixing the memory leak</t>
  </si>
  <si>
    <t>Still not done, but I got an idea, which is to do a using(Bitmap Sprite = GetSprite(Type)) instead of storing a sprite for each entity</t>
  </si>
  <si>
    <t>Getting better sprites, and renaming them in the code</t>
  </si>
  <si>
    <t>Images/Coding</t>
  </si>
  <si>
    <t>Re-adding health bar visuals (obstacle, characters) and creating a better GenerateWaves()</t>
  </si>
  <si>
    <t>Creating better collisions</t>
  </si>
  <si>
    <t>Implemented a background image to the game</t>
  </si>
  <si>
    <t>Setting up the presentation PC</t>
  </si>
  <si>
    <t>Preparation</t>
  </si>
  <si>
    <t>Preparing today's PC</t>
  </si>
  <si>
    <t>I had issues with this, as Visual Studio 2022 wasn't, and couldn't, be installed, so we had to result in trying to use VSC, then installing VS2026</t>
  </si>
  <si>
    <t>Creating new enemy types</t>
  </si>
  <si>
    <t>Implemented the wither, but not any other (didn't have time)</t>
  </si>
  <si>
    <t>Since we upgraded the project to .NET 10.0, we had to upgrade VS2022 to VS2026</t>
  </si>
  <si>
    <t>I also optimized the code, so that enemies only store one lastCooldown variable in case they can shoot</t>
  </si>
  <si>
    <t>Creating new boss types</t>
  </si>
  <si>
    <t>Downloading VS2026 on the current PC</t>
  </si>
  <si>
    <t>Apprentice</t>
  </si>
  <si>
    <t>Class/Group</t>
  </si>
  <si>
    <t>Project Manager(s)</t>
  </si>
  <si>
    <t>Subject</t>
  </si>
  <si>
    <t>Total duration (in periods of 45 minutes)</t>
  </si>
  <si>
    <t>Bubble / Domain / Module</t>
  </si>
  <si>
    <t>Task</t>
  </si>
  <si>
    <t>Durations</t>
  </si>
  <si>
    <t>States</t>
  </si>
  <si>
    <t>End time</t>
  </si>
  <si>
    <t>Sources, links, references, commits …</t>
  </si>
  <si>
    <t>Day 1</t>
  </si>
  <si>
    <t>Total duration:</t>
  </si>
  <si>
    <t>Daily review: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</si>
  <si>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</si>
  <si>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</si>
  <si>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</si>
  <si>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</si>
  <si>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</si>
  <si>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</si>
  <si>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</si>
  <si>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</si>
  <si>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</si>
  <si>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</si>
  <si>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</si>
  <si>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</si>
  <si>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</si>
  <si>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</si>
  <si>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</si>
  <si>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Total time spent (in hours)</t>
  </si>
  <si>
    <t>This too longer than expected, as I had some issues getting the right permissions and had to make a virtual machine instead</t>
  </si>
  <si>
    <t>Downloading VS2026 on a VM</t>
  </si>
  <si>
    <t>Making some bosses ignore obstacles</t>
  </si>
  <si>
    <t>Fixing the pause button issues</t>
  </si>
  <si>
    <t>I also implemented DeltaTime movement</t>
  </si>
  <si>
    <t>Fixing some technical issues</t>
  </si>
  <si>
    <t>Adding sprites to the new boss types and making them work</t>
  </si>
  <si>
    <t>Reviewing the code</t>
  </si>
  <si>
    <t>Adding heart sprites to the game</t>
  </si>
  <si>
    <t>Fixing issues regarding enemy spawning and enemy shooting</t>
  </si>
  <si>
    <t>Making the skeletons smarter</t>
  </si>
  <si>
    <t>https://github.com/Jonathan150408/Craft-Me-Up/issues/7</t>
  </si>
  <si>
    <t>Implementing the pseudo-random map</t>
  </si>
  <si>
    <t>I made it so that isntead of being a grid of 8x8 chunks of 8x8 tiles, it's 16x16 chunks of 16x16 tiles, as that looked better</t>
  </si>
  <si>
    <t>Writing 2 new issues (#9 and #10)</t>
  </si>
  <si>
    <t>Implementing game window scale</t>
  </si>
  <si>
    <t>Working on the biomes</t>
  </si>
  <si>
    <t>Fixing an issue with camera clamping causing an error</t>
  </si>
  <si>
    <t>There are some issues to fix with zooming out causing lag, but that will be fixed later</t>
  </si>
  <si>
    <t>Implementing the settings</t>
  </si>
  <si>
    <t>Fixing the main menu scale</t>
  </si>
  <si>
    <t>Making the settings save</t>
  </si>
  <si>
    <t>So far, only GAMESPEED has a setting, but that'll change later on.</t>
  </si>
  <si>
    <t>Fixing some render-based lag</t>
  </si>
  <si>
    <t>Changing how biomes render</t>
  </si>
  <si>
    <t>Day 17</t>
  </si>
  <si>
    <t>Adding a setting to update the chunk amount</t>
  </si>
  <si>
    <t>Finished a test early, so I worked on this</t>
  </si>
  <si>
    <t>Day 18</t>
  </si>
  <si>
    <t>Fixed obstacle generation</t>
  </si>
  <si>
    <t>Fixed multiple small issues</t>
  </si>
  <si>
    <t>Issues such as render order and conditional logic failing</t>
  </si>
  <si>
    <t>Changed how enemy health renders</t>
  </si>
  <si>
    <t>Changed how player stats render</t>
  </si>
  <si>
    <t>Fixed some rendering issues</t>
  </si>
  <si>
    <t>Day 19</t>
  </si>
  <si>
    <t>Reduced rendering lag as much as I could for today
You can now start the game with 128x128 chunks, but it is incredibly laggy</t>
  </si>
  <si>
    <t>Optimized the code even more</t>
  </si>
  <si>
    <t>Made it so that after a certain level of zoom, obstacles turn into solid color images and used a few code shortcuts to make it way cleaner</t>
  </si>
  <si>
    <t>More optimization</t>
  </si>
  <si>
    <t>Tried to get rid of "TextHelpers", but it ended up creating more issues than anything. Next step is to cache</t>
  </si>
  <si>
    <t>I noticed that there were issues with obstacle collisions, as there was no way to get nearby obstacles, so everything looped through every obstacle</t>
  </si>
  <si>
    <t>Final rendering optimization</t>
  </si>
  <si>
    <t>I believe the game is finally V2-Ready</t>
  </si>
  <si>
    <t>S. Oliveira, G. Bianco and A. Gugler</t>
  </si>
  <si>
    <t>Final memory optimization and V2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</si>
</sst>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8"/>
      <name val="Century Gothic"/>
      <family val="2"/>
      <scheme val="minor"/>
    </font>
    <font>
      <sz val="8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3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3" borderId="6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 applyProtection="1">
      <alignment vertical="center" wrapText="1"/>
      <protection locked="0"/>
    </xf>
    <xf numFmtId="0" fontId="5" fillId="2" borderId="3" xfId="0" applyFont="1" applyFill="1" applyBorder="1" applyAlignment="1">
      <alignment horizontal="left" vertical="center" wrapText="1"/>
    </xf>
    <xf numFmtId="0" fontId="1" fillId="0" borderId="2" xfId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" fontId="3" fillId="0" borderId="2" xfId="0" applyNumberFormat="1" applyFont="1" applyBorder="1" applyAlignment="1" applyProtection="1">
      <alignment horizontal="center" vertical="center" wrapText="1"/>
      <protection locked="0"/>
    </xf>
    <xf numFmtId="0" fontId="1" fillId="0" borderId="0" xfId="1" applyAlignment="1" applyProtection="1"/>
    <xf numFmtId="20" fontId="3" fillId="0" borderId="2" xfId="0" quotePrefix="1" applyNumberFormat="1" applyFont="1" applyBorder="1" applyAlignment="1" applyProtection="1">
      <alignment horizontal="center" vertical="center" wrapText="1"/>
      <protection locked="0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>
      <alignment horizontal="center" vertical="center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14" fontId="3" fillId="0" borderId="10" xfId="0" applyNumberFormat="1" applyFont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4" fillId="3" borderId="5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3" fillId="3" borderId="3" xfId="0" applyFont="1" applyFill="1" applyBorder="1" applyAlignment="1" applyProtection="1">
      <alignment horizontal="left" vertical="center" wrapText="1"/>
      <protection locked="0"/>
    </xf>
    <xf numFmtId="0" fontId="3" fillId="3" borderId="4" xfId="0" applyFont="1" applyFill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>
      <alignment horizontal="left" vertical="center" wrapText="1" indent="1"/>
    </xf>
    <xf numFmtId="14" fontId="3" fillId="0" borderId="8" xfId="0" applyNumberFormat="1" applyFont="1" applyBorder="1" applyAlignment="1" applyProtection="1">
      <alignment horizontal="center" vertical="center" wrapText="1"/>
      <protection locked="0"/>
    </xf>
  </cellXfs>
  <cellStyles count="2">
    <cellStyle name="Lien hypertexte" xfId="1" builtinId="8"/>
    <cellStyle name="Normal" xfId="0" builtinId="0" customBuiltin="1"/>
  </cellStyles>
  <dxfs count="84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Jonathan150408/Craft-Me-Up/issues/7" TargetMode="External"/><Relationship Id="rId1" Type="http://schemas.openxmlformats.org/officeDocument/2006/relationships/hyperlink" Target="https://github.com/Jonathan150408/Craft-Me-Up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G99"/>
  <sheetViews>
    <sheetView tabSelected="1" view="pageBreakPreview" zoomScaleNormal="100" zoomScaleSheetLayoutView="100" workbookViewId="0">
      <pane xSplit="3" ySplit="5" topLeftCell="D90" activePane="bottomRight" state="frozen"/>
      <selection pane="topRight" activeCell="D1" sqref="D1"/>
      <selection pane="bottomLeft" activeCell="A2" sqref="A2"/>
      <selection pane="bottomRight" activeCell="D96" sqref="D96:G96"/>
    </sheetView>
  </sheetViews>
  <sheetFormatPr baseColWidth="10" defaultColWidth="11.42578125" defaultRowHeight="13.5" x14ac:dyDescent="0.25"/>
  <cols>
    <col min="1" max="1" width="26.7109375" style="1" customWidth="1"/>
    <col min="2" max="3" width="14.7109375" style="1" customWidth="1"/>
    <col min="4" max="4" width="43.7109375" style="1" customWidth="1"/>
    <col min="5" max="5" width="26.28515625" style="1" customWidth="1"/>
    <col min="6" max="6" width="26.28515625" style="21" customWidth="1"/>
    <col min="7" max="7" width="50.7109375" style="1" customWidth="1"/>
    <col min="8" max="8" width="19.5703125" style="1" customWidth="1"/>
    <col min="9" max="9" width="36" style="1" customWidth="1"/>
    <col min="10" max="16384" width="11.42578125" style="1"/>
  </cols>
  <sheetData>
    <row r="1" spans="1:7" ht="21" customHeight="1" thickBot="1" x14ac:dyDescent="0.3">
      <c r="A1" s="16" t="s">
        <v>82</v>
      </c>
      <c r="B1" s="35" t="s">
        <v>3</v>
      </c>
      <c r="C1" s="36"/>
      <c r="D1" s="33" t="s">
        <v>86</v>
      </c>
      <c r="E1" s="34"/>
      <c r="F1" s="31" t="s">
        <v>5</v>
      </c>
      <c r="G1" s="32"/>
    </row>
    <row r="2" spans="1:7" ht="21" customHeight="1" thickBot="1" x14ac:dyDescent="0.3">
      <c r="A2" s="16" t="s">
        <v>83</v>
      </c>
      <c r="B2" s="35" t="s">
        <v>4</v>
      </c>
      <c r="C2" s="36"/>
      <c r="D2" s="33" t="s">
        <v>0</v>
      </c>
      <c r="E2" s="34"/>
      <c r="F2" s="31" t="s">
        <v>1</v>
      </c>
      <c r="G2" s="32"/>
    </row>
    <row r="3" spans="1:7" ht="21" customHeight="1" thickBot="1" x14ac:dyDescent="0.3">
      <c r="A3" s="16" t="s">
        <v>84</v>
      </c>
      <c r="B3" s="37" t="s">
        <v>156</v>
      </c>
      <c r="C3" s="38"/>
      <c r="D3" s="33" t="s">
        <v>87</v>
      </c>
      <c r="E3" s="34"/>
      <c r="F3" s="35" t="s">
        <v>13</v>
      </c>
      <c r="G3" s="36"/>
    </row>
    <row r="4" spans="1:7" ht="21" customHeight="1" thickBot="1" x14ac:dyDescent="0.3">
      <c r="A4" s="16" t="s">
        <v>85</v>
      </c>
      <c r="B4" s="35" t="s">
        <v>6</v>
      </c>
      <c r="C4" s="41"/>
      <c r="D4" s="41"/>
      <c r="E4" s="41"/>
      <c r="F4" s="41"/>
      <c r="G4" s="36"/>
    </row>
    <row r="5" spans="1:7" ht="21" customHeight="1" thickBot="1" x14ac:dyDescent="0.3">
      <c r="A5" s="2" t="s">
        <v>88</v>
      </c>
      <c r="B5" s="3" t="s">
        <v>2</v>
      </c>
      <c r="C5" s="26" t="s">
        <v>89</v>
      </c>
      <c r="D5" s="2" t="s">
        <v>17</v>
      </c>
      <c r="E5" s="2" t="s">
        <v>90</v>
      </c>
      <c r="F5" s="2" t="s">
        <v>91</v>
      </c>
      <c r="G5" s="2" t="s">
        <v>92</v>
      </c>
    </row>
    <row r="6" spans="1:7" ht="18" customHeight="1" x14ac:dyDescent="0.2">
      <c r="A6" s="4" t="s">
        <v>8</v>
      </c>
      <c r="B6" s="27">
        <v>45964</v>
      </c>
      <c r="C6" s="5">
        <v>30</v>
      </c>
      <c r="D6" s="8" t="s">
        <v>7</v>
      </c>
      <c r="E6" s="8" t="s">
        <v>9</v>
      </c>
      <c r="F6" s="22">
        <v>0.59027777777777779</v>
      </c>
      <c r="G6" s="23" t="s">
        <v>12</v>
      </c>
    </row>
    <row r="7" spans="1:7" ht="18" customHeight="1" x14ac:dyDescent="0.25">
      <c r="A7" s="6" t="s">
        <v>17</v>
      </c>
      <c r="B7" s="28"/>
      <c r="C7" s="7">
        <v>35</v>
      </c>
      <c r="D7" s="8" t="s">
        <v>16</v>
      </c>
      <c r="E7" s="8" t="s">
        <v>9</v>
      </c>
      <c r="F7" s="22">
        <v>0.61458333333333337</v>
      </c>
      <c r="G7" s="19"/>
    </row>
    <row r="8" spans="1:7" ht="18" customHeight="1" thickBot="1" x14ac:dyDescent="0.3">
      <c r="A8" s="6" t="s">
        <v>14</v>
      </c>
      <c r="B8" s="28"/>
      <c r="C8" s="7">
        <v>60</v>
      </c>
      <c r="D8" s="8" t="s">
        <v>15</v>
      </c>
      <c r="E8" s="8" t="s">
        <v>20</v>
      </c>
      <c r="F8" s="22">
        <v>0.65625</v>
      </c>
      <c r="G8" s="8" t="s">
        <v>18</v>
      </c>
    </row>
    <row r="9" spans="1:7" ht="18" customHeight="1" thickBot="1" x14ac:dyDescent="0.3">
      <c r="A9" s="11" t="s">
        <v>95</v>
      </c>
      <c r="B9" s="17" t="s">
        <v>93</v>
      </c>
      <c r="C9" s="17" t="s">
        <v>94</v>
      </c>
      <c r="D9" s="39">
        <f>SUM(C6:C8)</f>
        <v>125</v>
      </c>
      <c r="E9" s="39"/>
      <c r="F9" s="39"/>
      <c r="G9" s="40"/>
    </row>
    <row r="10" spans="1:7" ht="18" customHeight="1" x14ac:dyDescent="0.25">
      <c r="A10" s="4" t="s">
        <v>14</v>
      </c>
      <c r="B10" s="27">
        <v>45965</v>
      </c>
      <c r="C10" s="5">
        <v>30</v>
      </c>
      <c r="D10" s="8" t="s">
        <v>19</v>
      </c>
      <c r="E10" s="8" t="s">
        <v>9</v>
      </c>
      <c r="F10" s="22">
        <v>0.36458333333333331</v>
      </c>
      <c r="G10" s="19"/>
    </row>
    <row r="11" spans="1:7" ht="30" customHeight="1" x14ac:dyDescent="0.25">
      <c r="A11" s="6" t="s">
        <v>21</v>
      </c>
      <c r="B11" s="28"/>
      <c r="C11" s="7">
        <v>50</v>
      </c>
      <c r="D11" s="8" t="s">
        <v>32</v>
      </c>
      <c r="E11" s="8" t="s">
        <v>9</v>
      </c>
      <c r="F11" s="22">
        <v>0.39930555555555558</v>
      </c>
      <c r="G11" s="8" t="s">
        <v>23</v>
      </c>
    </row>
    <row r="12" spans="1:7" ht="30" customHeight="1" x14ac:dyDescent="0.25">
      <c r="A12" s="6" t="s">
        <v>22</v>
      </c>
      <c r="B12" s="28"/>
      <c r="C12" s="7">
        <v>25</v>
      </c>
      <c r="D12" s="8" t="s">
        <v>26</v>
      </c>
      <c r="E12" s="8" t="s">
        <v>9</v>
      </c>
      <c r="F12" s="22">
        <v>0.42708333333333331</v>
      </c>
      <c r="G12" s="8" t="s">
        <v>24</v>
      </c>
    </row>
    <row r="13" spans="1:7" ht="18" customHeight="1" x14ac:dyDescent="0.25">
      <c r="A13" s="6" t="s">
        <v>25</v>
      </c>
      <c r="B13" s="28"/>
      <c r="C13" s="7">
        <v>35</v>
      </c>
      <c r="D13" s="8" t="s">
        <v>27</v>
      </c>
      <c r="E13" s="8" t="s">
        <v>9</v>
      </c>
      <c r="F13" s="22">
        <v>0.4513888888888889</v>
      </c>
      <c r="G13" s="19"/>
    </row>
    <row r="14" spans="1:7" ht="18" customHeight="1" thickBot="1" x14ac:dyDescent="0.3">
      <c r="A14" s="9" t="s">
        <v>28</v>
      </c>
      <c r="B14" s="42"/>
      <c r="C14" s="9">
        <v>35</v>
      </c>
      <c r="D14" s="8" t="s">
        <v>29</v>
      </c>
      <c r="E14" s="10" t="s">
        <v>20</v>
      </c>
      <c r="F14" s="22">
        <v>0.47569444444444442</v>
      </c>
      <c r="G14" s="8" t="s">
        <v>18</v>
      </c>
    </row>
    <row r="15" spans="1:7" ht="18" customHeight="1" thickBot="1" x14ac:dyDescent="0.3">
      <c r="A15" s="11" t="s">
        <v>95</v>
      </c>
      <c r="B15" s="17" t="s">
        <v>96</v>
      </c>
      <c r="C15" s="17" t="s">
        <v>94</v>
      </c>
      <c r="D15" s="39">
        <f>SUM(C10:C14)</f>
        <v>175</v>
      </c>
      <c r="E15" s="39"/>
      <c r="F15" s="39"/>
      <c r="G15" s="40"/>
    </row>
    <row r="16" spans="1:7" ht="18" customHeight="1" x14ac:dyDescent="0.25">
      <c r="A16" s="4" t="s">
        <v>31</v>
      </c>
      <c r="B16" s="27">
        <v>45971</v>
      </c>
      <c r="C16" s="5">
        <v>45</v>
      </c>
      <c r="D16" s="8" t="s">
        <v>30</v>
      </c>
      <c r="E16" s="8" t="s">
        <v>9</v>
      </c>
      <c r="F16" s="22">
        <v>0.57986111111111105</v>
      </c>
      <c r="G16" s="8" t="s">
        <v>33</v>
      </c>
    </row>
    <row r="17" spans="1:7" ht="30" customHeight="1" x14ac:dyDescent="0.25">
      <c r="A17" s="6" t="s">
        <v>22</v>
      </c>
      <c r="B17" s="28"/>
      <c r="C17" s="7">
        <v>55</v>
      </c>
      <c r="D17" s="8" t="s">
        <v>34</v>
      </c>
      <c r="E17" s="8" t="s">
        <v>9</v>
      </c>
      <c r="F17" s="24">
        <v>0.63194444444444442</v>
      </c>
      <c r="G17" s="8" t="s">
        <v>35</v>
      </c>
    </row>
    <row r="18" spans="1:7" ht="30" customHeight="1" thickBot="1" x14ac:dyDescent="0.3">
      <c r="A18" s="6" t="s">
        <v>28</v>
      </c>
      <c r="B18" s="28"/>
      <c r="C18" s="7">
        <v>45</v>
      </c>
      <c r="D18" s="8" t="s">
        <v>36</v>
      </c>
      <c r="E18" s="8" t="s">
        <v>9</v>
      </c>
      <c r="F18" s="22">
        <v>0.66319444444444442</v>
      </c>
      <c r="G18" s="8" t="s">
        <v>38</v>
      </c>
    </row>
    <row r="19" spans="1:7" ht="18" customHeight="1" thickBot="1" x14ac:dyDescent="0.3">
      <c r="A19" s="11" t="s">
        <v>95</v>
      </c>
      <c r="B19" s="17" t="s">
        <v>97</v>
      </c>
      <c r="C19" s="17" t="s">
        <v>94</v>
      </c>
      <c r="D19" s="39">
        <f>SUM(C16:C18)</f>
        <v>145</v>
      </c>
      <c r="E19" s="39"/>
      <c r="F19" s="39"/>
      <c r="G19" s="40"/>
    </row>
    <row r="20" spans="1:7" ht="58.5" customHeight="1" x14ac:dyDescent="0.25">
      <c r="A20" s="4" t="s">
        <v>37</v>
      </c>
      <c r="B20" s="27">
        <v>45972</v>
      </c>
      <c r="C20" s="5"/>
      <c r="D20" s="8" t="s">
        <v>39</v>
      </c>
      <c r="E20" s="8" t="s">
        <v>9</v>
      </c>
      <c r="F20" s="22">
        <v>0.3923611111111111</v>
      </c>
      <c r="G20" s="8" t="s">
        <v>40</v>
      </c>
    </row>
    <row r="21" spans="1:7" ht="18" customHeight="1" thickBot="1" x14ac:dyDescent="0.3">
      <c r="A21" s="6" t="s">
        <v>28</v>
      </c>
      <c r="B21" s="28"/>
      <c r="C21" s="7">
        <v>105</v>
      </c>
      <c r="D21" s="8" t="s">
        <v>36</v>
      </c>
      <c r="E21" s="8" t="s">
        <v>9</v>
      </c>
      <c r="F21" s="24">
        <v>0.47569444444444442</v>
      </c>
      <c r="G21" s="8" t="s">
        <v>41</v>
      </c>
    </row>
    <row r="22" spans="1:7" ht="18" customHeight="1" thickBot="1" x14ac:dyDescent="0.3">
      <c r="A22" s="11" t="s">
        <v>95</v>
      </c>
      <c r="B22" s="17" t="s">
        <v>98</v>
      </c>
      <c r="C22" s="17" t="s">
        <v>94</v>
      </c>
      <c r="D22" s="39">
        <f>SUM(C20:C21)</f>
        <v>105</v>
      </c>
      <c r="E22" s="39"/>
      <c r="F22" s="39"/>
      <c r="G22" s="40"/>
    </row>
    <row r="23" spans="1:7" ht="30" customHeight="1" x14ac:dyDescent="0.25">
      <c r="A23" s="4" t="s">
        <v>28</v>
      </c>
      <c r="B23" s="27">
        <v>45978</v>
      </c>
      <c r="C23" s="5">
        <v>105</v>
      </c>
      <c r="D23" s="8" t="s">
        <v>36</v>
      </c>
      <c r="E23" s="8" t="s">
        <v>9</v>
      </c>
      <c r="F23" s="22">
        <v>0.63194444444444442</v>
      </c>
      <c r="G23" s="8" t="s">
        <v>42</v>
      </c>
    </row>
    <row r="24" spans="1:7" ht="30" customHeight="1" x14ac:dyDescent="0.25">
      <c r="A24" s="6" t="s">
        <v>28</v>
      </c>
      <c r="B24" s="28"/>
      <c r="C24" s="7">
        <v>10</v>
      </c>
      <c r="D24" s="8" t="s">
        <v>43</v>
      </c>
      <c r="E24" s="8" t="s">
        <v>9</v>
      </c>
      <c r="F24" s="22">
        <v>0.63888888888888895</v>
      </c>
      <c r="G24" s="19"/>
    </row>
    <row r="25" spans="1:7" ht="18" customHeight="1" thickBot="1" x14ac:dyDescent="0.3">
      <c r="A25" s="9" t="s">
        <v>28</v>
      </c>
      <c r="B25" s="28"/>
      <c r="C25" s="9">
        <v>25</v>
      </c>
      <c r="D25" s="8" t="s">
        <v>44</v>
      </c>
      <c r="E25" s="10" t="s">
        <v>9</v>
      </c>
      <c r="F25" s="22">
        <v>0.65625</v>
      </c>
      <c r="G25" s="8" t="s">
        <v>45</v>
      </c>
    </row>
    <row r="26" spans="1:7" ht="18" customHeight="1" thickBot="1" x14ac:dyDescent="0.3">
      <c r="A26" s="11" t="s">
        <v>95</v>
      </c>
      <c r="B26" s="17" t="s">
        <v>99</v>
      </c>
      <c r="C26" s="17" t="s">
        <v>94</v>
      </c>
      <c r="D26" s="39">
        <f>SUM(C23:C25)</f>
        <v>140</v>
      </c>
      <c r="E26" s="39"/>
      <c r="F26" s="39"/>
      <c r="G26" s="40"/>
    </row>
    <row r="27" spans="1:7" ht="58.5" customHeight="1" x14ac:dyDescent="0.25">
      <c r="A27" s="6" t="s">
        <v>28</v>
      </c>
      <c r="B27" s="27">
        <v>45979</v>
      </c>
      <c r="C27" s="5">
        <v>100</v>
      </c>
      <c r="D27" s="8" t="s">
        <v>46</v>
      </c>
      <c r="E27" s="8" t="s">
        <v>9</v>
      </c>
      <c r="F27" s="22">
        <v>0.4375</v>
      </c>
      <c r="G27" s="8" t="s">
        <v>48</v>
      </c>
    </row>
    <row r="28" spans="1:7" ht="30" customHeight="1" x14ac:dyDescent="0.25">
      <c r="A28" s="6" t="s">
        <v>28</v>
      </c>
      <c r="B28" s="28"/>
      <c r="C28" s="7">
        <v>45</v>
      </c>
      <c r="D28" s="8" t="s">
        <v>47</v>
      </c>
      <c r="E28" s="8" t="s">
        <v>9</v>
      </c>
      <c r="F28" s="22">
        <v>0.46875</v>
      </c>
      <c r="G28" s="8" t="s">
        <v>49</v>
      </c>
    </row>
    <row r="29" spans="1:7" ht="30" customHeight="1" thickBot="1" x14ac:dyDescent="0.3">
      <c r="A29" s="6" t="s">
        <v>28</v>
      </c>
      <c r="B29" s="28"/>
      <c r="C29" s="7">
        <v>10</v>
      </c>
      <c r="D29" s="8" t="s">
        <v>50</v>
      </c>
      <c r="E29" s="8" t="s">
        <v>9</v>
      </c>
      <c r="F29" s="22">
        <v>0.47569444444444442</v>
      </c>
      <c r="G29" s="19"/>
    </row>
    <row r="30" spans="1:7" ht="18" customHeight="1" thickBot="1" x14ac:dyDescent="0.3">
      <c r="A30" s="11" t="s">
        <v>95</v>
      </c>
      <c r="B30" s="17" t="s">
        <v>100</v>
      </c>
      <c r="C30" s="17" t="s">
        <v>94</v>
      </c>
      <c r="D30" s="39">
        <f>SUM(C27:C29)</f>
        <v>155</v>
      </c>
      <c r="E30" s="39"/>
      <c r="F30" s="39"/>
      <c r="G30" s="40"/>
    </row>
    <row r="31" spans="1:7" ht="18" customHeight="1" x14ac:dyDescent="0.25">
      <c r="A31" s="4" t="s">
        <v>28</v>
      </c>
      <c r="B31" s="27">
        <v>45985</v>
      </c>
      <c r="C31" s="5">
        <v>10</v>
      </c>
      <c r="D31" s="8" t="s">
        <v>51</v>
      </c>
      <c r="E31" s="8" t="s">
        <v>9</v>
      </c>
      <c r="F31" s="22">
        <v>0.55555555555555558</v>
      </c>
      <c r="G31" s="19"/>
    </row>
    <row r="32" spans="1:7" ht="30" customHeight="1" x14ac:dyDescent="0.25">
      <c r="A32" s="6" t="s">
        <v>28</v>
      </c>
      <c r="B32" s="28"/>
      <c r="C32" s="7">
        <v>20</v>
      </c>
      <c r="D32" s="8" t="s">
        <v>52</v>
      </c>
      <c r="E32" s="8" t="s">
        <v>9</v>
      </c>
      <c r="F32" s="22">
        <v>0.56944444444444442</v>
      </c>
      <c r="G32" s="8" t="s">
        <v>53</v>
      </c>
    </row>
    <row r="33" spans="1:7" ht="18" customHeight="1" x14ac:dyDescent="0.25">
      <c r="A33" s="6" t="s">
        <v>28</v>
      </c>
      <c r="B33" s="28"/>
      <c r="C33" s="7">
        <v>30</v>
      </c>
      <c r="D33" s="8" t="s">
        <v>54</v>
      </c>
      <c r="E33" s="8" t="s">
        <v>9</v>
      </c>
      <c r="F33" s="22">
        <v>0.59027777777777779</v>
      </c>
      <c r="G33" s="19"/>
    </row>
    <row r="34" spans="1:7" ht="30" customHeight="1" x14ac:dyDescent="0.25">
      <c r="A34" s="6" t="s">
        <v>28</v>
      </c>
      <c r="B34" s="28"/>
      <c r="C34" s="7">
        <v>15</v>
      </c>
      <c r="D34" s="8" t="s">
        <v>57</v>
      </c>
      <c r="E34" s="8" t="s">
        <v>9</v>
      </c>
      <c r="F34" s="22">
        <v>0.60069444444444442</v>
      </c>
      <c r="G34" s="19"/>
    </row>
    <row r="35" spans="1:7" ht="30" customHeight="1" x14ac:dyDescent="0.25">
      <c r="A35" s="6" t="s">
        <v>28</v>
      </c>
      <c r="B35" s="28"/>
      <c r="C35" s="7">
        <v>10</v>
      </c>
      <c r="D35" s="8" t="s">
        <v>56</v>
      </c>
      <c r="E35" s="8" t="s">
        <v>9</v>
      </c>
      <c r="F35" s="22">
        <v>0.60763888888888895</v>
      </c>
      <c r="G35" s="19"/>
    </row>
    <row r="36" spans="1:7" ht="29.25" customHeight="1" x14ac:dyDescent="0.25">
      <c r="A36" s="6" t="s">
        <v>28</v>
      </c>
      <c r="B36" s="28"/>
      <c r="C36" s="7">
        <v>10</v>
      </c>
      <c r="D36" s="8" t="s">
        <v>55</v>
      </c>
      <c r="E36" s="8" t="s">
        <v>9</v>
      </c>
      <c r="F36" s="22">
        <v>0.61458333333333337</v>
      </c>
      <c r="G36" s="19"/>
    </row>
    <row r="37" spans="1:7" ht="30" customHeight="1" x14ac:dyDescent="0.25">
      <c r="A37" s="6" t="s">
        <v>28</v>
      </c>
      <c r="B37" s="28"/>
      <c r="C37" s="7">
        <v>30</v>
      </c>
      <c r="D37" s="8" t="s">
        <v>58</v>
      </c>
      <c r="E37" s="8" t="s">
        <v>9</v>
      </c>
      <c r="F37" s="22">
        <v>0.64583333333333337</v>
      </c>
      <c r="G37" s="19"/>
    </row>
    <row r="38" spans="1:7" ht="18" customHeight="1" x14ac:dyDescent="0.25">
      <c r="A38" s="6" t="s">
        <v>22</v>
      </c>
      <c r="B38" s="28"/>
      <c r="C38" s="7">
        <v>5</v>
      </c>
      <c r="D38" s="8" t="s">
        <v>59</v>
      </c>
      <c r="E38" s="8" t="s">
        <v>9</v>
      </c>
      <c r="F38" s="22">
        <v>0.64930555555555558</v>
      </c>
      <c r="G38" s="19"/>
    </row>
    <row r="39" spans="1:7" ht="18" customHeight="1" thickBot="1" x14ac:dyDescent="0.3">
      <c r="A39" s="6" t="s">
        <v>25</v>
      </c>
      <c r="B39" s="28"/>
      <c r="C39" s="7">
        <v>10</v>
      </c>
      <c r="D39" s="8" t="s">
        <v>60</v>
      </c>
      <c r="E39" s="8" t="s">
        <v>20</v>
      </c>
      <c r="F39" s="22">
        <v>0.65625</v>
      </c>
      <c r="G39" s="8" t="s">
        <v>61</v>
      </c>
    </row>
    <row r="40" spans="1:7" ht="18" customHeight="1" thickBot="1" x14ac:dyDescent="0.3">
      <c r="A40" s="11" t="s">
        <v>95</v>
      </c>
      <c r="B40" s="17" t="s">
        <v>101</v>
      </c>
      <c r="C40" s="17" t="s">
        <v>94</v>
      </c>
      <c r="D40" s="39">
        <f>SUM(C31:C39)</f>
        <v>140</v>
      </c>
      <c r="E40" s="39"/>
      <c r="F40" s="39"/>
      <c r="G40" s="40"/>
    </row>
    <row r="41" spans="1:7" ht="18" customHeight="1" x14ac:dyDescent="0.25">
      <c r="A41" s="4" t="s">
        <v>25</v>
      </c>
      <c r="B41" s="27">
        <v>45986</v>
      </c>
      <c r="C41" s="5">
        <v>15</v>
      </c>
      <c r="D41" s="8" t="s">
        <v>62</v>
      </c>
      <c r="E41" s="8" t="s">
        <v>9</v>
      </c>
      <c r="F41" s="22">
        <v>0.34375</v>
      </c>
      <c r="G41" s="19"/>
    </row>
    <row r="42" spans="1:7" ht="48" customHeight="1" thickBot="1" x14ac:dyDescent="0.3">
      <c r="A42" s="6" t="s">
        <v>28</v>
      </c>
      <c r="B42" s="28"/>
      <c r="C42" s="7">
        <v>175</v>
      </c>
      <c r="D42" s="8" t="s">
        <v>63</v>
      </c>
      <c r="E42" s="8" t="s">
        <v>20</v>
      </c>
      <c r="F42" s="24">
        <v>0.47569444444444442</v>
      </c>
      <c r="G42" s="8" t="s">
        <v>64</v>
      </c>
    </row>
    <row r="43" spans="1:7" ht="18" customHeight="1" thickBot="1" x14ac:dyDescent="0.3">
      <c r="A43" s="11" t="s">
        <v>95</v>
      </c>
      <c r="B43" s="17" t="s">
        <v>102</v>
      </c>
      <c r="C43" s="17" t="s">
        <v>94</v>
      </c>
      <c r="D43" s="39">
        <f>SUM(C41:C42)</f>
        <v>190</v>
      </c>
      <c r="E43" s="39"/>
      <c r="F43" s="39"/>
      <c r="G43" s="40"/>
    </row>
    <row r="44" spans="1:7" ht="48.75" customHeight="1" thickBot="1" x14ac:dyDescent="0.3">
      <c r="A44" s="4" t="s">
        <v>28</v>
      </c>
      <c r="B44" s="25">
        <v>45992</v>
      </c>
      <c r="C44" s="5">
        <v>140</v>
      </c>
      <c r="D44" s="8" t="s">
        <v>65</v>
      </c>
      <c r="E44" s="8" t="s">
        <v>20</v>
      </c>
      <c r="F44" s="22">
        <v>0.65625</v>
      </c>
      <c r="G44" s="8" t="s">
        <v>66</v>
      </c>
    </row>
    <row r="45" spans="1:7" ht="18" customHeight="1" thickBot="1" x14ac:dyDescent="0.3">
      <c r="A45" s="11" t="s">
        <v>95</v>
      </c>
      <c r="B45" s="17" t="s">
        <v>103</v>
      </c>
      <c r="C45" s="17" t="s">
        <v>94</v>
      </c>
      <c r="D45" s="39">
        <f>SUM(C44:C44)</f>
        <v>140</v>
      </c>
      <c r="E45" s="39"/>
      <c r="F45" s="39"/>
      <c r="G45" s="40"/>
    </row>
    <row r="46" spans="1:7" ht="18" customHeight="1" x14ac:dyDescent="0.25">
      <c r="A46" s="4" t="s">
        <v>28</v>
      </c>
      <c r="B46" s="27">
        <v>45993</v>
      </c>
      <c r="C46" s="5">
        <v>45</v>
      </c>
      <c r="D46" s="8" t="s">
        <v>65</v>
      </c>
      <c r="E46" s="8" t="s">
        <v>9</v>
      </c>
      <c r="F46" s="22">
        <v>0.36458333333333331</v>
      </c>
      <c r="G46" s="19"/>
    </row>
    <row r="47" spans="1:7" ht="30" customHeight="1" x14ac:dyDescent="0.25">
      <c r="A47" s="6" t="s">
        <v>68</v>
      </c>
      <c r="B47" s="28"/>
      <c r="C47" s="7">
        <v>75</v>
      </c>
      <c r="D47" s="8" t="s">
        <v>67</v>
      </c>
      <c r="E47" s="8" t="s">
        <v>9</v>
      </c>
      <c r="F47" s="22">
        <v>0.42708333333333331</v>
      </c>
      <c r="G47" s="19"/>
    </row>
    <row r="48" spans="1:7" ht="48" customHeight="1" x14ac:dyDescent="0.25">
      <c r="A48" s="6" t="s">
        <v>28</v>
      </c>
      <c r="B48" s="28"/>
      <c r="C48" s="7">
        <v>15</v>
      </c>
      <c r="D48" s="8" t="s">
        <v>69</v>
      </c>
      <c r="E48" s="8" t="s">
        <v>9</v>
      </c>
      <c r="F48" s="22">
        <v>0.4375</v>
      </c>
      <c r="G48" s="19"/>
    </row>
    <row r="49" spans="1:7" ht="18" customHeight="1" x14ac:dyDescent="0.25">
      <c r="A49" s="6" t="s">
        <v>28</v>
      </c>
      <c r="B49" s="28"/>
      <c r="C49" s="7">
        <v>10</v>
      </c>
      <c r="D49" s="8" t="s">
        <v>70</v>
      </c>
      <c r="E49" s="8" t="s">
        <v>9</v>
      </c>
      <c r="F49" s="22">
        <v>0.44444444444444442</v>
      </c>
      <c r="G49" s="19"/>
    </row>
    <row r="50" spans="1:7" ht="30" customHeight="1" thickBot="1" x14ac:dyDescent="0.3">
      <c r="A50" s="6" t="s">
        <v>28</v>
      </c>
      <c r="B50" s="28"/>
      <c r="C50" s="7">
        <v>10</v>
      </c>
      <c r="D50" s="8" t="s">
        <v>71</v>
      </c>
      <c r="E50" s="8" t="s">
        <v>9</v>
      </c>
      <c r="F50" s="22">
        <v>0.4513888888888889</v>
      </c>
      <c r="G50" s="19"/>
    </row>
    <row r="51" spans="1:7" ht="18" customHeight="1" thickBot="1" x14ac:dyDescent="0.3">
      <c r="A51" s="6" t="s">
        <v>8</v>
      </c>
      <c r="B51" s="28"/>
      <c r="C51" s="7">
        <v>35</v>
      </c>
      <c r="D51" s="8" t="s">
        <v>72</v>
      </c>
      <c r="E51" s="8" t="s">
        <v>9</v>
      </c>
      <c r="F51" s="22">
        <v>0.47569444444444442</v>
      </c>
      <c r="G51" s="19"/>
    </row>
    <row r="52" spans="1:7" ht="18" customHeight="1" thickBot="1" x14ac:dyDescent="0.3">
      <c r="A52" s="11" t="s">
        <v>95</v>
      </c>
      <c r="B52" s="17" t="s">
        <v>104</v>
      </c>
      <c r="C52" s="17" t="s">
        <v>94</v>
      </c>
      <c r="D52" s="39">
        <f>SUM(C46:C51)</f>
        <v>190</v>
      </c>
      <c r="E52" s="39"/>
      <c r="F52" s="39"/>
      <c r="G52" s="40"/>
    </row>
    <row r="53" spans="1:7" ht="48" customHeight="1" x14ac:dyDescent="0.25">
      <c r="A53" s="4" t="s">
        <v>73</v>
      </c>
      <c r="B53" s="27">
        <v>45999</v>
      </c>
      <c r="C53" s="5">
        <v>60</v>
      </c>
      <c r="D53" s="8" t="s">
        <v>74</v>
      </c>
      <c r="E53" s="8" t="s">
        <v>9</v>
      </c>
      <c r="F53" s="22">
        <v>0.375</v>
      </c>
      <c r="G53" s="8" t="s">
        <v>75</v>
      </c>
    </row>
    <row r="54" spans="1:7" ht="18" customHeight="1" x14ac:dyDescent="0.25">
      <c r="A54" s="6" t="s">
        <v>25</v>
      </c>
      <c r="B54" s="28"/>
      <c r="C54" s="7">
        <v>15</v>
      </c>
      <c r="D54" s="8" t="s">
        <v>60</v>
      </c>
      <c r="E54" s="8" t="s">
        <v>9</v>
      </c>
      <c r="F54" s="22">
        <v>0.38541666666666669</v>
      </c>
      <c r="G54" s="19"/>
    </row>
    <row r="55" spans="1:7" ht="30" customHeight="1" thickBot="1" x14ac:dyDescent="0.3">
      <c r="A55" s="6" t="s">
        <v>28</v>
      </c>
      <c r="B55" s="28"/>
      <c r="C55" s="7">
        <v>65</v>
      </c>
      <c r="D55" s="8" t="s">
        <v>76</v>
      </c>
      <c r="E55" s="8" t="s">
        <v>20</v>
      </c>
      <c r="F55" s="22">
        <v>0.44097222222222227</v>
      </c>
      <c r="G55" s="8" t="s">
        <v>77</v>
      </c>
    </row>
    <row r="56" spans="1:7" ht="18" customHeight="1" thickBot="1" x14ac:dyDescent="0.3">
      <c r="A56" s="11" t="s">
        <v>95</v>
      </c>
      <c r="B56" s="17" t="s">
        <v>105</v>
      </c>
      <c r="C56" s="17" t="s">
        <v>94</v>
      </c>
      <c r="D56" s="39">
        <f>SUM(C53:C55)</f>
        <v>140</v>
      </c>
      <c r="E56" s="39"/>
      <c r="F56" s="39"/>
      <c r="G56" s="40"/>
    </row>
    <row r="57" spans="1:7" ht="30" customHeight="1" x14ac:dyDescent="0.25">
      <c r="A57" s="4" t="s">
        <v>73</v>
      </c>
      <c r="B57" s="27">
        <v>46006</v>
      </c>
      <c r="C57" s="5">
        <v>15</v>
      </c>
      <c r="D57" s="8" t="s">
        <v>81</v>
      </c>
      <c r="E57" s="8" t="s">
        <v>9</v>
      </c>
      <c r="F57" s="22">
        <v>0.55902777777777779</v>
      </c>
      <c r="G57" s="8" t="s">
        <v>78</v>
      </c>
    </row>
    <row r="58" spans="1:7" ht="30" customHeight="1" thickBot="1" x14ac:dyDescent="0.3">
      <c r="A58" s="6" t="s">
        <v>28</v>
      </c>
      <c r="B58" s="28"/>
      <c r="C58" s="7">
        <v>125</v>
      </c>
      <c r="D58" s="8" t="s">
        <v>80</v>
      </c>
      <c r="E58" s="8" t="s">
        <v>20</v>
      </c>
      <c r="F58" s="22">
        <v>0.65625</v>
      </c>
      <c r="G58" s="8" t="s">
        <v>79</v>
      </c>
    </row>
    <row r="59" spans="1:7" ht="18" customHeight="1" thickBot="1" x14ac:dyDescent="0.3">
      <c r="A59" s="11" t="s">
        <v>95</v>
      </c>
      <c r="B59" s="17" t="s">
        <v>106</v>
      </c>
      <c r="C59" s="17" t="s">
        <v>94</v>
      </c>
      <c r="D59" s="39">
        <f>SUM(C57:C58)</f>
        <v>140</v>
      </c>
      <c r="E59" s="39"/>
      <c r="F59" s="39"/>
      <c r="G59" s="40"/>
    </row>
    <row r="60" spans="1:7" ht="48" customHeight="1" x14ac:dyDescent="0.25">
      <c r="A60" s="4" t="s">
        <v>73</v>
      </c>
      <c r="B60" s="27">
        <v>46007</v>
      </c>
      <c r="C60" s="5">
        <v>60</v>
      </c>
      <c r="D60" s="8" t="s">
        <v>113</v>
      </c>
      <c r="E60" s="8" t="s">
        <v>9</v>
      </c>
      <c r="F60" s="22">
        <v>0.375</v>
      </c>
      <c r="G60" s="8" t="s">
        <v>112</v>
      </c>
    </row>
    <row r="61" spans="1:7" ht="30" customHeight="1" x14ac:dyDescent="0.25">
      <c r="A61" s="6" t="s">
        <v>28</v>
      </c>
      <c r="B61" s="28"/>
      <c r="C61" s="7">
        <v>10</v>
      </c>
      <c r="D61" s="8" t="s">
        <v>118</v>
      </c>
      <c r="E61" s="8" t="s">
        <v>9</v>
      </c>
      <c r="F61" s="22">
        <v>0.38194444444444442</v>
      </c>
      <c r="G61" s="19"/>
    </row>
    <row r="62" spans="1:7" ht="18" customHeight="1" x14ac:dyDescent="0.25">
      <c r="A62" s="6" t="s">
        <v>28</v>
      </c>
      <c r="B62" s="28"/>
      <c r="C62" s="7">
        <v>45</v>
      </c>
      <c r="D62" s="8" t="s">
        <v>114</v>
      </c>
      <c r="E62" s="8" t="s">
        <v>9</v>
      </c>
      <c r="F62" s="22">
        <v>0.4236111111111111</v>
      </c>
      <c r="G62" s="19"/>
    </row>
    <row r="63" spans="1:7" ht="18" customHeight="1" thickBot="1" x14ac:dyDescent="0.3">
      <c r="A63" s="6" t="s">
        <v>28</v>
      </c>
      <c r="B63" s="28"/>
      <c r="C63" s="7">
        <v>65</v>
      </c>
      <c r="D63" s="8" t="s">
        <v>115</v>
      </c>
      <c r="E63" s="8" t="s">
        <v>9</v>
      </c>
      <c r="F63" s="22">
        <v>0.47569444444444442</v>
      </c>
      <c r="G63" s="8" t="s">
        <v>116</v>
      </c>
    </row>
    <row r="64" spans="1:7" ht="18" customHeight="1" thickBot="1" x14ac:dyDescent="0.3">
      <c r="A64" s="11" t="s">
        <v>95</v>
      </c>
      <c r="B64" s="17" t="s">
        <v>107</v>
      </c>
      <c r="C64" s="17" t="s">
        <v>94</v>
      </c>
      <c r="D64" s="39">
        <f>SUM(C60:C63)</f>
        <v>180</v>
      </c>
      <c r="E64" s="39"/>
      <c r="F64" s="39"/>
      <c r="G64" s="40"/>
    </row>
    <row r="65" spans="1:7" ht="18" customHeight="1" x14ac:dyDescent="0.25">
      <c r="A65" s="4" t="s">
        <v>73</v>
      </c>
      <c r="B65" s="27">
        <v>46027</v>
      </c>
      <c r="C65" s="5">
        <v>10</v>
      </c>
      <c r="D65" s="8" t="s">
        <v>117</v>
      </c>
      <c r="E65" s="8" t="s">
        <v>9</v>
      </c>
      <c r="F65" s="22">
        <v>0.55208333333333337</v>
      </c>
      <c r="G65" s="19"/>
    </row>
    <row r="66" spans="1:7" ht="18" customHeight="1" x14ac:dyDescent="0.25">
      <c r="A66" s="6" t="s">
        <v>28</v>
      </c>
      <c r="B66" s="28"/>
      <c r="C66" s="7">
        <v>10</v>
      </c>
      <c r="D66" s="8" t="s">
        <v>119</v>
      </c>
      <c r="E66" s="8" t="s">
        <v>9</v>
      </c>
      <c r="F66" s="22">
        <v>0.55902777777777779</v>
      </c>
      <c r="G66" s="19"/>
    </row>
    <row r="67" spans="1:7" ht="18" customHeight="1" x14ac:dyDescent="0.25">
      <c r="A67" s="6" t="s">
        <v>25</v>
      </c>
      <c r="B67" s="28"/>
      <c r="C67" s="7">
        <v>10</v>
      </c>
      <c r="D67" s="8" t="s">
        <v>120</v>
      </c>
      <c r="E67" s="8" t="s">
        <v>9</v>
      </c>
      <c r="F67" s="22">
        <v>0.56597222222222221</v>
      </c>
      <c r="G67" s="19"/>
    </row>
    <row r="68" spans="1:7" ht="30" customHeight="1" x14ac:dyDescent="0.25">
      <c r="A68" s="6" t="s">
        <v>28</v>
      </c>
      <c r="B68" s="28"/>
      <c r="C68" s="7">
        <v>45</v>
      </c>
      <c r="D68" s="8" t="s">
        <v>121</v>
      </c>
      <c r="E68" s="8" t="s">
        <v>9</v>
      </c>
      <c r="F68" s="22">
        <v>0.59722222222222221</v>
      </c>
      <c r="G68" s="19"/>
    </row>
    <row r="69" spans="1:7" ht="18" customHeight="1" thickBot="1" x14ac:dyDescent="0.3">
      <c r="A69" s="6" t="s">
        <v>28</v>
      </c>
      <c r="B69" s="28"/>
      <c r="C69" s="7">
        <v>70</v>
      </c>
      <c r="D69" s="8" t="s">
        <v>122</v>
      </c>
      <c r="E69" s="8" t="s">
        <v>9</v>
      </c>
      <c r="F69" s="22">
        <v>0.65625</v>
      </c>
      <c r="G69" s="19" t="s">
        <v>123</v>
      </c>
    </row>
    <row r="70" spans="1:7" ht="18" customHeight="1" thickBot="1" x14ac:dyDescent="0.3">
      <c r="A70" s="11" t="s">
        <v>95</v>
      </c>
      <c r="B70" s="17" t="s">
        <v>108</v>
      </c>
      <c r="C70" s="17" t="s">
        <v>94</v>
      </c>
      <c r="D70" s="39">
        <f>SUM(C65:C69)</f>
        <v>145</v>
      </c>
      <c r="E70" s="39"/>
      <c r="F70" s="39"/>
      <c r="G70" s="40"/>
    </row>
    <row r="71" spans="1:7" ht="48" customHeight="1" x14ac:dyDescent="0.25">
      <c r="A71" s="4" t="s">
        <v>28</v>
      </c>
      <c r="B71" s="27">
        <v>46042</v>
      </c>
      <c r="C71" s="5">
        <v>135</v>
      </c>
      <c r="D71" s="8" t="s">
        <v>124</v>
      </c>
      <c r="E71" s="8" t="s">
        <v>9</v>
      </c>
      <c r="F71" s="22">
        <v>0.4375</v>
      </c>
      <c r="G71" s="8" t="s">
        <v>125</v>
      </c>
    </row>
    <row r="72" spans="1:7" ht="18" customHeight="1" x14ac:dyDescent="0.25">
      <c r="A72" s="6" t="s">
        <v>22</v>
      </c>
      <c r="B72" s="28"/>
      <c r="C72" s="7">
        <v>5</v>
      </c>
      <c r="D72" s="8" t="s">
        <v>126</v>
      </c>
      <c r="E72" s="8" t="s">
        <v>9</v>
      </c>
      <c r="F72" s="22">
        <v>0.44097222222222227</v>
      </c>
      <c r="G72" s="19"/>
    </row>
    <row r="73" spans="1:7" ht="18" customHeight="1" x14ac:dyDescent="0.25">
      <c r="A73" s="6" t="s">
        <v>28</v>
      </c>
      <c r="B73" s="28"/>
      <c r="C73" s="7">
        <v>40</v>
      </c>
      <c r="D73" s="8" t="s">
        <v>127</v>
      </c>
      <c r="E73" s="8" t="s">
        <v>9</v>
      </c>
      <c r="F73" s="22">
        <v>0.46527777777777773</v>
      </c>
      <c r="G73" s="19"/>
    </row>
    <row r="74" spans="1:7" ht="18" customHeight="1" thickBot="1" x14ac:dyDescent="0.3">
      <c r="A74" s="6" t="s">
        <v>28</v>
      </c>
      <c r="B74" s="28"/>
      <c r="C74" s="7">
        <v>15</v>
      </c>
      <c r="D74" s="8" t="s">
        <v>128</v>
      </c>
      <c r="E74" s="8" t="s">
        <v>20</v>
      </c>
      <c r="F74" s="22">
        <v>0.47569444444444442</v>
      </c>
      <c r="G74" s="19"/>
    </row>
    <row r="75" spans="1:7" ht="18" customHeight="1" thickBot="1" x14ac:dyDescent="0.3">
      <c r="A75" s="11" t="s">
        <v>95</v>
      </c>
      <c r="B75" s="17" t="s">
        <v>109</v>
      </c>
      <c r="C75" s="17" t="s">
        <v>94</v>
      </c>
      <c r="D75" s="39">
        <f>SUM(C71:C74)</f>
        <v>195</v>
      </c>
      <c r="E75" s="39"/>
      <c r="F75" s="39"/>
      <c r="G75" s="40"/>
    </row>
    <row r="76" spans="1:7" ht="18" customHeight="1" x14ac:dyDescent="0.25">
      <c r="A76" s="4" t="s">
        <v>28</v>
      </c>
      <c r="B76" s="27">
        <v>46049</v>
      </c>
      <c r="C76" s="7">
        <v>15</v>
      </c>
      <c r="D76" s="8" t="s">
        <v>128</v>
      </c>
      <c r="E76" s="8" t="s">
        <v>9</v>
      </c>
      <c r="F76" s="22">
        <v>0.34375</v>
      </c>
      <c r="G76" s="8"/>
    </row>
    <row r="77" spans="1:7" ht="30" customHeight="1" x14ac:dyDescent="0.25">
      <c r="A77" s="6" t="s">
        <v>28</v>
      </c>
      <c r="B77" s="28"/>
      <c r="C77" s="7">
        <v>25</v>
      </c>
      <c r="D77" s="8" t="s">
        <v>129</v>
      </c>
      <c r="E77" s="8" t="s">
        <v>9</v>
      </c>
      <c r="F77" s="22">
        <v>0.36458333333333331</v>
      </c>
      <c r="G77" s="8" t="s">
        <v>130</v>
      </c>
    </row>
    <row r="78" spans="1:7" ht="18" customHeight="1" x14ac:dyDescent="0.25">
      <c r="A78" s="6" t="s">
        <v>28</v>
      </c>
      <c r="B78" s="28"/>
      <c r="C78" s="7">
        <v>10</v>
      </c>
      <c r="D78" s="8" t="s">
        <v>132</v>
      </c>
      <c r="E78" s="8" t="s">
        <v>9</v>
      </c>
      <c r="F78" s="22">
        <v>0.37152777777777773</v>
      </c>
      <c r="G78" s="8"/>
    </row>
    <row r="79" spans="1:7" ht="30" customHeight="1" x14ac:dyDescent="0.25">
      <c r="A79" s="6" t="s">
        <v>28</v>
      </c>
      <c r="B79" s="28"/>
      <c r="C79" s="7">
        <v>65</v>
      </c>
      <c r="D79" s="8" t="s">
        <v>131</v>
      </c>
      <c r="E79" s="8" t="s">
        <v>9</v>
      </c>
      <c r="F79" s="22">
        <v>0.42708333333333331</v>
      </c>
      <c r="G79" s="8" t="s">
        <v>134</v>
      </c>
    </row>
    <row r="80" spans="1:7" ht="18" customHeight="1" x14ac:dyDescent="0.25">
      <c r="A80" s="6" t="s">
        <v>28</v>
      </c>
      <c r="B80" s="28"/>
      <c r="C80" s="7">
        <v>15</v>
      </c>
      <c r="D80" s="8" t="s">
        <v>133</v>
      </c>
      <c r="E80" s="8" t="s">
        <v>9</v>
      </c>
      <c r="F80" s="22">
        <v>0.4375</v>
      </c>
      <c r="G80" s="8"/>
    </row>
    <row r="81" spans="1:7" ht="18" customHeight="1" x14ac:dyDescent="0.25">
      <c r="A81" s="6" t="s">
        <v>28</v>
      </c>
      <c r="B81" s="28"/>
      <c r="C81" s="7">
        <v>40</v>
      </c>
      <c r="D81" s="8" t="s">
        <v>135</v>
      </c>
      <c r="E81" s="8" t="s">
        <v>9</v>
      </c>
      <c r="F81" s="22">
        <v>0.46527777777777773</v>
      </c>
      <c r="G81" s="8"/>
    </row>
    <row r="82" spans="1:7" ht="18" customHeight="1" x14ac:dyDescent="0.25">
      <c r="A82" s="6" t="s">
        <v>28</v>
      </c>
      <c r="B82" s="28"/>
      <c r="C82" s="7">
        <v>15</v>
      </c>
      <c r="D82" s="8" t="s">
        <v>136</v>
      </c>
      <c r="E82" s="8" t="s">
        <v>9</v>
      </c>
      <c r="F82" s="22">
        <v>0.47569444444444442</v>
      </c>
      <c r="G82" s="8"/>
    </row>
    <row r="83" spans="1:7" ht="18" customHeight="1" x14ac:dyDescent="0.25">
      <c r="A83" s="6" t="s">
        <v>28</v>
      </c>
      <c r="B83" s="28"/>
      <c r="C83" s="7">
        <v>25</v>
      </c>
      <c r="D83" s="8" t="s">
        <v>138</v>
      </c>
      <c r="E83" s="8" t="s">
        <v>9</v>
      </c>
      <c r="F83" s="22">
        <v>0.61458333333333337</v>
      </c>
      <c r="G83" s="8" t="s">
        <v>139</v>
      </c>
    </row>
    <row r="84" spans="1:7" ht="18" customHeight="1" thickBot="1" x14ac:dyDescent="0.3">
      <c r="A84" s="6" t="s">
        <v>28</v>
      </c>
      <c r="B84" s="42"/>
      <c r="C84" s="7">
        <v>5</v>
      </c>
      <c r="D84" s="8" t="s">
        <v>141</v>
      </c>
      <c r="E84" s="8" t="s">
        <v>9</v>
      </c>
      <c r="F84" s="22">
        <v>0.63888888888888895</v>
      </c>
      <c r="G84" s="8"/>
    </row>
    <row r="85" spans="1:7" ht="18" customHeight="1" thickBot="1" x14ac:dyDescent="0.3">
      <c r="A85" s="11" t="s">
        <v>95</v>
      </c>
      <c r="B85" s="17" t="s">
        <v>110</v>
      </c>
      <c r="C85" s="17" t="s">
        <v>94</v>
      </c>
      <c r="D85" s="39">
        <f>SUM(C76:C84)</f>
        <v>215</v>
      </c>
      <c r="E85" s="39"/>
      <c r="F85" s="39"/>
      <c r="G85" s="40"/>
    </row>
    <row r="86" spans="1:7" ht="30" customHeight="1" x14ac:dyDescent="0.25">
      <c r="A86" s="4" t="s">
        <v>28</v>
      </c>
      <c r="B86" s="27">
        <v>46063</v>
      </c>
      <c r="C86" s="5">
        <v>10</v>
      </c>
      <c r="D86" s="8" t="s">
        <v>142</v>
      </c>
      <c r="E86" s="8" t="s">
        <v>9</v>
      </c>
      <c r="F86" s="22">
        <v>0.34027777777777773</v>
      </c>
      <c r="G86" s="8" t="s">
        <v>143</v>
      </c>
    </row>
    <row r="87" spans="1:7" ht="18" customHeight="1" x14ac:dyDescent="0.25">
      <c r="A87" s="6" t="s">
        <v>28</v>
      </c>
      <c r="B87" s="28"/>
      <c r="C87" s="7">
        <v>55</v>
      </c>
      <c r="D87" s="8" t="s">
        <v>144</v>
      </c>
      <c r="E87" s="8" t="s">
        <v>9</v>
      </c>
      <c r="F87" s="22">
        <v>0.37847222222222227</v>
      </c>
      <c r="G87" s="8"/>
    </row>
    <row r="88" spans="1:7" ht="18" customHeight="1" x14ac:dyDescent="0.25">
      <c r="A88" s="6" t="s">
        <v>28</v>
      </c>
      <c r="B88" s="28"/>
      <c r="C88" s="7">
        <v>40</v>
      </c>
      <c r="D88" s="8" t="s">
        <v>145</v>
      </c>
      <c r="E88" s="8" t="s">
        <v>9</v>
      </c>
      <c r="F88" s="22">
        <v>0.41666666666666669</v>
      </c>
      <c r="G88" s="19"/>
    </row>
    <row r="89" spans="1:7" ht="48" customHeight="1" thickBot="1" x14ac:dyDescent="0.3">
      <c r="A89" s="6" t="s">
        <v>28</v>
      </c>
      <c r="B89" s="28"/>
      <c r="C89" s="7">
        <v>85</v>
      </c>
      <c r="D89" s="8" t="s">
        <v>146</v>
      </c>
      <c r="E89" s="8" t="s">
        <v>20</v>
      </c>
      <c r="F89" s="22">
        <v>0.47569444444444442</v>
      </c>
      <c r="G89" s="8" t="s">
        <v>148</v>
      </c>
    </row>
    <row r="90" spans="1:7" ht="18" customHeight="1" thickBot="1" x14ac:dyDescent="0.3">
      <c r="A90" s="11" t="s">
        <v>95</v>
      </c>
      <c r="B90" s="17" t="s">
        <v>137</v>
      </c>
      <c r="C90" s="17" t="s">
        <v>94</v>
      </c>
      <c r="D90" s="39">
        <f>SUM(C86:C89)</f>
        <v>190</v>
      </c>
      <c r="E90" s="39"/>
      <c r="F90" s="39"/>
      <c r="G90" s="40"/>
    </row>
    <row r="91" spans="1:7" ht="48" customHeight="1" x14ac:dyDescent="0.25">
      <c r="A91" s="4" t="s">
        <v>28</v>
      </c>
      <c r="B91" s="27">
        <v>46084</v>
      </c>
      <c r="C91" s="5">
        <v>105</v>
      </c>
      <c r="D91" s="8" t="s">
        <v>149</v>
      </c>
      <c r="E91" s="8" t="s">
        <v>20</v>
      </c>
      <c r="F91" s="22">
        <v>0.41666666666666669</v>
      </c>
      <c r="G91" s="8" t="s">
        <v>150</v>
      </c>
    </row>
    <row r="92" spans="1:7" ht="48" customHeight="1" thickBot="1" x14ac:dyDescent="0.3">
      <c r="A92" s="6" t="s">
        <v>28</v>
      </c>
      <c r="B92" s="28"/>
      <c r="C92" s="7">
        <v>85</v>
      </c>
      <c r="D92" s="8" t="s">
        <v>151</v>
      </c>
      <c r="E92" s="8" t="s">
        <v>20</v>
      </c>
      <c r="F92" s="22">
        <v>0.47569444444444442</v>
      </c>
      <c r="G92" s="8" t="s">
        <v>152</v>
      </c>
    </row>
    <row r="93" spans="1:7" ht="18" customHeight="1" thickBot="1" x14ac:dyDescent="0.3">
      <c r="A93" s="11" t="s">
        <v>95</v>
      </c>
      <c r="B93" s="17" t="s">
        <v>140</v>
      </c>
      <c r="C93" s="17" t="s">
        <v>94</v>
      </c>
      <c r="D93" s="39">
        <f>SUM(C91:C92)</f>
        <v>190</v>
      </c>
      <c r="E93" s="39"/>
      <c r="F93" s="39"/>
      <c r="G93" s="40"/>
    </row>
    <row r="94" spans="1:7" ht="72" customHeight="1" x14ac:dyDescent="0.25">
      <c r="A94" s="4" t="s">
        <v>28</v>
      </c>
      <c r="B94" s="27">
        <v>46098</v>
      </c>
      <c r="C94" s="5">
        <v>55</v>
      </c>
      <c r="D94" s="8" t="s">
        <v>154</v>
      </c>
      <c r="E94" s="8" t="s">
        <v>9</v>
      </c>
      <c r="F94" s="22">
        <v>0.41666666666666669</v>
      </c>
      <c r="G94" s="8" t="s">
        <v>153</v>
      </c>
    </row>
    <row r="95" spans="1:7" ht="18" customHeight="1" thickBot="1" x14ac:dyDescent="0.3">
      <c r="A95" s="6" t="s">
        <v>28</v>
      </c>
      <c r="B95" s="28"/>
      <c r="C95" s="7">
        <v>35</v>
      </c>
      <c r="D95" s="8" t="s">
        <v>157</v>
      </c>
      <c r="E95" s="8" t="s">
        <v>9</v>
      </c>
      <c r="F95" s="22">
        <v>0.44097222222222227</v>
      </c>
      <c r="G95" s="8" t="s">
        <v>155</v>
      </c>
    </row>
    <row r="96" spans="1:7" ht="18" customHeight="1" thickBot="1" x14ac:dyDescent="0.3">
      <c r="A96" s="11" t="s">
        <v>95</v>
      </c>
      <c r="B96" s="17" t="s">
        <v>147</v>
      </c>
      <c r="C96" s="17" t="s">
        <v>94</v>
      </c>
      <c r="D96" s="39">
        <f>SUM(C94:C95)</f>
        <v>90</v>
      </c>
      <c r="E96" s="39"/>
      <c r="F96" s="39"/>
      <c r="G96" s="40"/>
    </row>
    <row r="97" spans="1:7" ht="21" customHeight="1" thickBot="1" x14ac:dyDescent="0.3">
      <c r="A97" s="29" t="s">
        <v>111</v>
      </c>
      <c r="B97" s="30"/>
      <c r="C97" s="12">
        <f>MROUND(SUM(C6:C96) /60,0.2)</f>
        <v>49.800000000000004</v>
      </c>
      <c r="D97" s="13"/>
      <c r="E97" s="18"/>
      <c r="F97" s="20"/>
      <c r="G97" s="14"/>
    </row>
    <row r="98" spans="1:7" x14ac:dyDescent="0.25">
      <c r="A98" s="15"/>
    </row>
    <row r="99" spans="1:7" x14ac:dyDescent="0.25">
      <c r="A99" s="15"/>
    </row>
  </sheetData>
  <mergeCells count="48">
    <mergeCell ref="D85:G85"/>
    <mergeCell ref="D90:G90"/>
    <mergeCell ref="D96:G96"/>
    <mergeCell ref="D93:G93"/>
    <mergeCell ref="D22:G22"/>
    <mergeCell ref="D26:G26"/>
    <mergeCell ref="D30:G30"/>
    <mergeCell ref="D40:G40"/>
    <mergeCell ref="D52:G52"/>
    <mergeCell ref="D43:G43"/>
    <mergeCell ref="D45:G45"/>
    <mergeCell ref="D75:G75"/>
    <mergeCell ref="D70:G70"/>
    <mergeCell ref="D56:G56"/>
    <mergeCell ref="D59:G59"/>
    <mergeCell ref="D64:G64"/>
    <mergeCell ref="D9:G9"/>
    <mergeCell ref="D15:G15"/>
    <mergeCell ref="D19:G19"/>
    <mergeCell ref="B4:G4"/>
    <mergeCell ref="B6:B8"/>
    <mergeCell ref="B10:B14"/>
    <mergeCell ref="B16:B18"/>
    <mergeCell ref="F1:G1"/>
    <mergeCell ref="D1:E1"/>
    <mergeCell ref="D2:E2"/>
    <mergeCell ref="D3:E3"/>
    <mergeCell ref="B1:C1"/>
    <mergeCell ref="B2:C2"/>
    <mergeCell ref="B3:C3"/>
    <mergeCell ref="F2:G2"/>
    <mergeCell ref="F3:G3"/>
    <mergeCell ref="B20:B21"/>
    <mergeCell ref="B23:B25"/>
    <mergeCell ref="B27:B29"/>
    <mergeCell ref="A97:B97"/>
    <mergeCell ref="B31:B39"/>
    <mergeCell ref="B46:B51"/>
    <mergeCell ref="B41:B42"/>
    <mergeCell ref="B71:B74"/>
    <mergeCell ref="B65:B69"/>
    <mergeCell ref="B53:B55"/>
    <mergeCell ref="B57:B58"/>
    <mergeCell ref="B60:B63"/>
    <mergeCell ref="B86:B89"/>
    <mergeCell ref="B94:B95"/>
    <mergeCell ref="B91:B92"/>
    <mergeCell ref="B76:B84"/>
  </mergeCells>
  <phoneticPr fontId="6" type="noConversion"/>
  <dataValidations count="2">
    <dataValidation type="whole" operator="greaterThan" allowBlank="1" showInputMessage="1" showErrorMessage="1" errorTitle="Durée par tranche de 10min" error="Le nombre doit être de type entier" sqref="C27:C29 C23:C25 C16:C18 B6 C10:C14 C20:C21 C6:C8 C31:C39 C41:C42 C44 C46:C51 C71:C74 C53:C55 C60:C63 C57:C58 C65:C69 C76:C84 C86:C89 C94:C95 C91:C92" xr:uid="{345ABA8F-B69F-4AFC-9D0E-D2AB0ACDE277}">
      <formula1>0</formula1>
    </dataValidation>
    <dataValidation type="date" operator="greaterThan" allowBlank="1" showInputMessage="1" showErrorMessage="1" errorTitle="Durée par tranche de 10min" error="Le nombre doit être de type entier" sqref="B10:B14 B16:B18 B20:B21 B27:B29 B23:B25 B31:B39 B41:B42 B44 B46:B51 B71:B74 B53:B55 B60:B63 B57:B58 B65:B69 B76 B86:B89 B94:B95 B91:B92" xr:uid="{7694F886-C01B-440C-B6C8-5FF698F43C26}">
      <formula1>45261</formula1>
    </dataValidation>
  </dataValidations>
  <hyperlinks>
    <hyperlink ref="G6" r:id="rId1" xr:uid="{48F1459F-A9D8-4CFC-BB03-37B9BE21D6DE}"/>
    <hyperlink ref="G69" r:id="rId2" xr:uid="{93681196-2DD2-4E71-B42F-AE88441C8C0B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29" orientation="portrait" r:id="rId3"/>
  <headerFooter>
    <oddHeader>&amp;L&amp;"Etml_font,Normal"&amp;22ETML&amp;R&amp;G</oddHeader>
    <oddFooter>&amp;L&amp;14&amp;D&amp;R&amp;14Journal</oddFooter>
  </headerFooter>
  <legacyDrawingHF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13" operator="equal" id="{6BC2577B-BDA3-4B48-8F95-0F2177F9264F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A4:E8 A10:E14 A16:E18 A20:E21 A23:E25 A27:E29 A31:E39 A97:E1048576 A44:E44 A41:E42 A46:E51 A71:E74 A65:E69 A60:E63 A57:E58 A53:E55 A86:E89 A76:E76 C77:E84 A94:E95 A91:E92 A1:D2 F1:F3 A3 D3 G4:G5 G7:G8 A9:D9 A15:D15 A19:D19 A22:D22 A26:D26 A30:D30 A40:D40 A43:D43 A45:D45 A52:D52 A56:D56 A59:D59 A64:D64 A70:D70 A75:D75 A77:A84 A85:D85 A90:D90 A93:D93 A96:D96 G97:G1048576</xm:sqref>
        </x14:conditionalFormatting>
        <x14:conditionalFormatting xmlns:xm="http://schemas.microsoft.com/office/excel/2006/main">
          <x14:cfRule type="cellIs" priority="114" operator="equal" id="{6DE85145-1CAE-407F-B647-4C9B303613C7}"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ellIs" priority="112" operator="equal" id="{9C6C644F-7238-453A-BC69-B42FAB3A2FA5}">
            <xm:f>Restrictions!$A$1</xm:f>
            <x14:dxf>
              <fill>
                <patternFill>
                  <bgColor rgb="FF00B050"/>
                </patternFill>
              </fill>
            </x14:dxf>
          </x14:cfRule>
          <x14:cfRule type="cellIs" priority="115" operator="equal" id="{29EA468D-F98D-4D41-AA55-B63DA0941363}">
            <xm:f>Restrictions!$D$1</xm:f>
            <x14:dxf>
              <fill>
                <patternFill>
                  <bgColor rgb="FFFF0000"/>
                </patternFill>
              </fill>
            </x14:dxf>
          </x14:cfRule>
          <xm:sqref>E4:E8 E10:E14 E16:E18 E20:E21 E23:E25 E27:E29 E31:E39 E97:E1048576</xm:sqref>
        </x14:conditionalFormatting>
        <x14:conditionalFormatting xmlns:xm="http://schemas.microsoft.com/office/excel/2006/main">
          <x14:cfRule type="cellIs" priority="83" operator="equal" id="{DA16BC0E-098E-492D-9DD4-7AE32F5A0B66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82" operator="equal" id="{B6903E1B-29F5-497F-B030-3589B8B337A1}"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ellIs" priority="81" operator="equal" id="{84E995EC-6FB3-447D-B7B4-F39F6B4AAF45}">
            <xm:f>Restrictions!$A$1</xm:f>
            <x14:dxf>
              <fill>
                <patternFill>
                  <bgColor rgb="FF00B050"/>
                </patternFill>
              </fill>
            </x14:dxf>
          </x14:cfRule>
          <xm:sqref>E41:E42</xm:sqref>
        </x14:conditionalFormatting>
        <x14:conditionalFormatting xmlns:xm="http://schemas.microsoft.com/office/excel/2006/main">
          <x14:cfRule type="cellIs" priority="87" operator="equal" id="{FFFCA022-7518-426F-AC53-14AA2D86A5EB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86" operator="equal" id="{29283CD5-B4A3-4A92-85FA-0825B9BB0F20}"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ellIs" priority="85" operator="equal" id="{2763426F-5E05-4AE5-BAB9-6155B44E42F3}">
            <xm:f>Restrictions!$A$1</xm:f>
            <x14:dxf>
              <fill>
                <patternFill>
                  <bgColor rgb="FF00B050"/>
                </patternFill>
              </fill>
            </x14:dxf>
          </x14:cfRule>
          <xm:sqref>E44</xm:sqref>
        </x14:conditionalFormatting>
        <x14:conditionalFormatting xmlns:xm="http://schemas.microsoft.com/office/excel/2006/main">
          <x14:cfRule type="cellIs" priority="75" operator="equal" id="{7CBCFDCF-397F-4B71-B6B1-D6B8B3D995CF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74" operator="equal" id="{8AA9BDE2-93E5-4C8F-8ABB-C8A37EF6C1F7}"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ellIs" priority="73" operator="equal" id="{55BA1703-E0F0-4534-AC5F-5524C52012B8}">
            <xm:f>Restrictions!$A$1</xm:f>
            <x14:dxf>
              <fill>
                <patternFill>
                  <bgColor rgb="FF00B050"/>
                </patternFill>
              </fill>
            </x14:dxf>
          </x14:cfRule>
          <xm:sqref>E46:E51</xm:sqref>
        </x14:conditionalFormatting>
        <x14:conditionalFormatting xmlns:xm="http://schemas.microsoft.com/office/excel/2006/main">
          <x14:cfRule type="cellIs" priority="53" operator="equal" id="{38CC099F-2CFB-4F51-BCC6-9A8C062F12D6}">
            <xm:f>Restrictions!$A$1</xm:f>
            <x14:dxf>
              <fill>
                <patternFill>
                  <bgColor rgb="FF00B050"/>
                </patternFill>
              </fill>
            </x14:dxf>
          </x14:cfRule>
          <x14:cfRule type="cellIs" priority="55" operator="equal" id="{9BE9A0C0-12EE-4A06-AA91-2B2C7773C591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54" operator="equal" id="{97B7369B-F3E2-421C-8B11-B917735F9E01}">
            <xm:f>Restrictions!$C$1</xm:f>
            <x14:dxf>
              <fill>
                <patternFill>
                  <bgColor rgb="FFFFC000"/>
                </patternFill>
              </fill>
            </x14:dxf>
          </x14:cfRule>
          <xm:sqref>E53:E55</xm:sqref>
        </x14:conditionalFormatting>
        <x14:conditionalFormatting xmlns:xm="http://schemas.microsoft.com/office/excel/2006/main">
          <x14:cfRule type="cellIs" priority="59" operator="equal" id="{06F1F730-9D3E-44F6-9858-23332EAE481C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58" operator="equal" id="{E33B63BE-9C2D-46FB-840B-160E77C144D1}"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ellIs" priority="57" operator="equal" id="{CE91AE07-0A4B-4CA1-864E-4494D1FD3F2D}">
            <xm:f>Restrictions!$A$1</xm:f>
            <x14:dxf>
              <fill>
                <patternFill>
                  <bgColor rgb="FF00B050"/>
                </patternFill>
              </fill>
            </x14:dxf>
          </x14:cfRule>
          <xm:sqref>E57:E58</xm:sqref>
        </x14:conditionalFormatting>
        <x14:conditionalFormatting xmlns:xm="http://schemas.microsoft.com/office/excel/2006/main">
          <x14:cfRule type="cellIs" priority="61" operator="equal" id="{6138D6EC-9477-4522-A720-100D44F804C5}">
            <xm:f>Restrictions!$A$1</xm:f>
            <x14:dxf>
              <fill>
                <patternFill>
                  <bgColor rgb="FF00B050"/>
                </patternFill>
              </fill>
            </x14:dxf>
          </x14:cfRule>
          <x14:cfRule type="cellIs" priority="63" operator="equal" id="{F3D48842-32E0-470D-8962-C942EB8B670B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62" operator="equal" id="{7FB697E4-A1F6-44CC-8422-CFE46191EC29}">
            <xm:f>Restrictions!$C$1</xm:f>
            <x14:dxf>
              <fill>
                <patternFill>
                  <bgColor rgb="FFFFC000"/>
                </patternFill>
              </fill>
            </x14:dxf>
          </x14:cfRule>
          <xm:sqref>E60:E63</xm:sqref>
        </x14:conditionalFormatting>
        <x14:conditionalFormatting xmlns:xm="http://schemas.microsoft.com/office/excel/2006/main">
          <x14:cfRule type="cellIs" priority="67" operator="equal" id="{806E81D0-33D7-43D5-9F66-9ACF5303AA2B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66" operator="equal" id="{5A6DBF38-AB31-41CF-92EB-6F71330B8A51}"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ellIs" priority="65" operator="equal" id="{CF4E2A7B-2831-4A8E-8CB0-05A3819B6512}">
            <xm:f>Restrictions!$A$1</xm:f>
            <x14:dxf>
              <fill>
                <patternFill>
                  <bgColor rgb="FF00B050"/>
                </patternFill>
              </fill>
            </x14:dxf>
          </x14:cfRule>
          <xm:sqref>E65:E69</xm:sqref>
        </x14:conditionalFormatting>
        <x14:conditionalFormatting xmlns:xm="http://schemas.microsoft.com/office/excel/2006/main">
          <x14:cfRule type="cellIs" priority="71" operator="equal" id="{5E85ED66-7E81-44BB-AFFF-3FBE898F7448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70" operator="equal" id="{CCF6CA8D-69A5-48BE-8938-2E3B52B06A90}"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ellIs" priority="69" operator="equal" id="{EC003FB1-6A08-40D6-88B1-588BCE936C35}">
            <xm:f>Restrictions!$A$1</xm:f>
            <x14:dxf>
              <fill>
                <patternFill>
                  <bgColor rgb="FF00B050"/>
                </patternFill>
              </fill>
            </x14:dxf>
          </x14:cfRule>
          <xm:sqref>E71:E74</xm:sqref>
        </x14:conditionalFormatting>
        <x14:conditionalFormatting xmlns:xm="http://schemas.microsoft.com/office/excel/2006/main">
          <x14:cfRule type="cellIs" priority="24" operator="equal" id="{5EE1483C-C8AF-4BC8-96C2-1FBDBB50C066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23" operator="equal" id="{CAD63670-76D8-46C3-9428-FF1328E16D90}"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ellIs" priority="22" operator="equal" id="{42B27148-AE7C-4BA1-B993-B3037B69F92A}">
            <xm:f>Restrictions!$A$1</xm:f>
            <x14:dxf>
              <fill>
                <patternFill>
                  <bgColor rgb="FF00B050"/>
                </patternFill>
              </fill>
            </x14:dxf>
          </x14:cfRule>
          <xm:sqref>E76:E84</xm:sqref>
        </x14:conditionalFormatting>
        <x14:conditionalFormatting xmlns:xm="http://schemas.microsoft.com/office/excel/2006/main">
          <x14:cfRule type="cellIs" priority="27" operator="equal" id="{8A959092-8A6B-4A91-99D1-8110E43AA729}">
            <xm:f>Restrictions!$A$1</xm:f>
            <x14:dxf>
              <fill>
                <patternFill>
                  <bgColor rgb="FF00B050"/>
                </patternFill>
              </fill>
            </x14:dxf>
          </x14:cfRule>
          <x14:cfRule type="cellIs" priority="29" operator="equal" id="{8CF84F96-ED65-491E-B676-DA2F761CE9EB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28" operator="equal" id="{F801D24C-AFDA-4757-9BC6-FB24B4DE466D}">
            <xm:f>Restrictions!$C$1</xm:f>
            <x14:dxf>
              <fill>
                <patternFill>
                  <bgColor rgb="FFFFC000"/>
                </patternFill>
              </fill>
            </x14:dxf>
          </x14:cfRule>
          <xm:sqref>E86:E89</xm:sqref>
        </x14:conditionalFormatting>
        <x14:conditionalFormatting xmlns:xm="http://schemas.microsoft.com/office/excel/2006/main">
          <x14:cfRule type="cellIs" priority="8" operator="equal" id="{5CAB61E4-56FF-4285-A4C9-A33737017E3A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7" operator="equal" id="{9E114EAB-BD08-4433-A88A-51FDBB871F00}"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ellIs" priority="6" operator="equal" id="{92E62023-F404-4026-AD69-5B76EB0BDAE8}">
            <xm:f>Restrictions!$A$1</xm:f>
            <x14:dxf>
              <fill>
                <patternFill>
                  <bgColor rgb="FF00B050"/>
                </patternFill>
              </fill>
            </x14:dxf>
          </x14:cfRule>
          <xm:sqref>E91:E92</xm:sqref>
        </x14:conditionalFormatting>
        <x14:conditionalFormatting xmlns:xm="http://schemas.microsoft.com/office/excel/2006/main">
          <x14:cfRule type="cellIs" priority="10" operator="equal" id="{A66F7540-0CD1-4EF9-B347-2CABE04E932F}">
            <xm:f>Restrictions!$A$1</xm:f>
            <x14:dxf>
              <fill>
                <patternFill>
                  <bgColor rgb="FF00B050"/>
                </patternFill>
              </fill>
            </x14:dxf>
          </x14:cfRule>
          <x14:cfRule type="cellIs" priority="12" operator="equal" id="{59C9B578-9F2D-494D-BED9-807E89EADAB8}">
            <xm:f>Restrictions!$D$1</xm:f>
            <x14:dxf>
              <fill>
                <patternFill>
                  <bgColor rgb="FFFF0000"/>
                </patternFill>
              </fill>
            </x14:dxf>
          </x14:cfRule>
          <x14:cfRule type="cellIs" priority="11" operator="equal" id="{E10A4C2F-1FA6-426F-A318-4C7EFBFBAD06}">
            <xm:f>Restrictions!$C$1</xm:f>
            <x14:dxf>
              <fill>
                <patternFill>
                  <bgColor rgb="FFFFC000"/>
                </patternFill>
              </fill>
            </x14:dxf>
          </x14:cfRule>
          <xm:sqref>E94:E95</xm:sqref>
        </x14:conditionalFormatting>
        <x14:conditionalFormatting xmlns:xm="http://schemas.microsoft.com/office/excel/2006/main">
          <x14:cfRule type="containsText" priority="109" operator="containsText" id="{FD0F452B-B2F8-4F75-A8CD-A69AC0834E64}">
            <xm:f>NOT(ISERROR(SEARCH(Restrictions!$B$1,F6)))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F6:F8</xm:sqref>
        </x14:conditionalFormatting>
        <x14:conditionalFormatting xmlns:xm="http://schemas.microsoft.com/office/excel/2006/main">
          <x14:cfRule type="containsText" priority="107" operator="containsText" id="{6407061A-B268-44CE-A52C-133739941B16}">
            <xm:f>NOT(ISERROR(SEARCH(Restrictions!$B$1,F16)))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F16:F18</xm:sqref>
        </x14:conditionalFormatting>
        <x14:conditionalFormatting xmlns:xm="http://schemas.microsoft.com/office/excel/2006/main">
          <x14:cfRule type="containsText" priority="106" operator="containsText" id="{756A584A-6AAC-4559-9F27-A59B4EFD7F34}">
            <xm:f>NOT(ISERROR(SEARCH(Restrictions!$B$1,F20)))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F20:F21</xm:sqref>
        </x14:conditionalFormatting>
        <x14:conditionalFormatting xmlns:xm="http://schemas.microsoft.com/office/excel/2006/main">
          <x14:cfRule type="containsText" priority="105" operator="containsText" id="{E988FD75-2909-4816-91C7-1018002A435D}">
            <xm:f>NOT(ISERROR(SEARCH(Restrictions!$B$1,F23)))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F23 F24:G24 F25</xm:sqref>
        </x14:conditionalFormatting>
        <x14:conditionalFormatting xmlns:xm="http://schemas.microsoft.com/office/excel/2006/main">
          <x14:cfRule type="containsText" priority="104" operator="containsText" id="{D5B6D5DF-9E2A-4C4B-BA82-97D983766AEE}">
            <xm:f>NOT(ISERROR(SEARCH(Restrictions!$B$1,F27)))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F27:F28 F29:G29</xm:sqref>
        </x14:conditionalFormatting>
        <x14:conditionalFormatting xmlns:xm="http://schemas.microsoft.com/office/excel/2006/main">
          <x14:cfRule type="containsText" priority="84" operator="containsText" id="{58D84678-3AF3-4F30-A017-BCF30ADC23B9}">
            <xm:f>NOT(ISERROR(SEARCH(Restrictions!$B$1,F44)))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F44</xm:sqref>
        </x14:conditionalFormatting>
        <x14:conditionalFormatting xmlns:xm="http://schemas.microsoft.com/office/excel/2006/main">
          <x14:cfRule type="containsText" priority="52" operator="containsText" id="{2CEED9A6-BF96-4A7D-A6A3-A1CBCB1BBB33}">
            <xm:f>NOT(ISERROR(SEARCH(Restrictions!$B$1,F53)))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F53 F54:G54 F55</xm:sqref>
        </x14:conditionalFormatting>
        <x14:conditionalFormatting xmlns:xm="http://schemas.microsoft.com/office/excel/2006/main">
          <x14:cfRule type="containsText" priority="56" operator="containsText" id="{9846E030-D336-4ABF-8549-0B217B1EE9C0}">
            <xm:f>NOT(ISERROR(SEARCH(Restrictions!$B$1,F57)))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F57:F58</xm:sqref>
        </x14:conditionalFormatting>
        <x14:conditionalFormatting xmlns:xm="http://schemas.microsoft.com/office/excel/2006/main">
          <x14:cfRule type="containsText" priority="60" operator="containsText" id="{C331D7E9-51D1-4558-86A6-2DDD97E5F51B}">
            <xm:f>NOT(ISERROR(SEARCH(Restrictions!$B$1,F60)))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F60 F61:G62 F63</xm:sqref>
        </x14:conditionalFormatting>
        <x14:conditionalFormatting xmlns:xm="http://schemas.microsoft.com/office/excel/2006/main">
          <x14:cfRule type="containsText" priority="68" operator="containsText" id="{A87BC3C4-539A-4D6D-94C0-DF4DFEA06C8A}">
            <xm:f>NOT(ISERROR(SEARCH(Restrictions!$B$1,F71)))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F71 F72:G74</xm:sqref>
        </x14:conditionalFormatting>
        <x14:conditionalFormatting xmlns:xm="http://schemas.microsoft.com/office/excel/2006/main">
          <x14:cfRule type="containsText" priority="25" operator="containsText" id="{94391AE6-F1AE-42D1-AF78-4812D68E41C4}">
            <xm:f>NOT(ISERROR(SEARCH(Restrictions!$B$1,F84)))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F84</xm:sqref>
        </x14:conditionalFormatting>
        <x14:conditionalFormatting xmlns:xm="http://schemas.microsoft.com/office/excel/2006/main">
          <x14:cfRule type="containsText" priority="108" operator="containsText" id="{88417B48-EA26-4D48-9EFE-B6A1E5C426AE}">
            <xm:f>NOT(ISERROR(SEARCH(Restrictions!$B$1,F10)))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F10:G10 F11:F12 F13:G13 F14</xm:sqref>
        </x14:conditionalFormatting>
        <x14:conditionalFormatting xmlns:xm="http://schemas.microsoft.com/office/excel/2006/main">
          <x14:cfRule type="containsText" priority="103" operator="containsText" id="{1555D56B-E8B5-4F0A-9D80-B2C1016EB105}">
            <xm:f>NOT(ISERROR(SEARCH(Restrictions!$B$1,F31)))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F31:G31 F32</xm:sqref>
        </x14:conditionalFormatting>
        <x14:conditionalFormatting xmlns:xm="http://schemas.microsoft.com/office/excel/2006/main">
          <x14:cfRule type="containsText" priority="92" operator="containsText" id="{F174B00B-9E6F-49FA-9EE7-95FA16CF0425}">
            <xm:f>NOT(ISERROR(SEARCH(Restrictions!$B$1,F33)))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F33:G38 F39</xm:sqref>
        </x14:conditionalFormatting>
        <x14:conditionalFormatting xmlns:xm="http://schemas.microsoft.com/office/excel/2006/main">
          <x14:cfRule type="containsText" priority="80" operator="containsText" id="{4AF076A7-8EED-499A-B340-9301C9A23B63}">
            <xm:f>NOT(ISERROR(SEARCH(Restrictions!$B$1,F41)))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F41:G41 F42</xm:sqref>
        </x14:conditionalFormatting>
        <x14:conditionalFormatting xmlns:xm="http://schemas.microsoft.com/office/excel/2006/main">
          <x14:cfRule type="containsText" priority="72" operator="containsText" id="{1E89304F-1BDF-40FA-83E9-2770D86CCD7D}">
            <xm:f>NOT(ISERROR(SEARCH(Restrictions!$B$1,F46)))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F46:G51</xm:sqref>
        </x14:conditionalFormatting>
        <x14:conditionalFormatting xmlns:xm="http://schemas.microsoft.com/office/excel/2006/main">
          <x14:cfRule type="containsText" priority="64" operator="containsText" id="{FBCB4E68-F50D-4BE4-8CEE-A9CE7EAE06EE}">
            <xm:f>NOT(ISERROR(SEARCH(Restrictions!$B$1,F65)))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F65:G69</xm:sqref>
        </x14:conditionalFormatting>
        <x14:conditionalFormatting xmlns:xm="http://schemas.microsoft.com/office/excel/2006/main">
          <x14:cfRule type="containsText" priority="38" operator="containsText" id="{3688DB4D-873A-4169-BE4C-08434A027D62}">
            <xm:f>NOT(ISERROR(SEARCH(Restrictions!$B$1,F76)))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F76:G76 F77 F78:G79 F80</xm:sqref>
        </x14:conditionalFormatting>
        <x14:conditionalFormatting xmlns:xm="http://schemas.microsoft.com/office/excel/2006/main">
          <x14:cfRule type="containsText" priority="31" operator="containsText" id="{1CA0FC1F-6CFD-462C-912C-B25E380596FE}">
            <xm:f>NOT(ISERROR(SEARCH(Restrictions!$B$1,F81)))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F81:G83</xm:sqref>
        </x14:conditionalFormatting>
        <x14:conditionalFormatting xmlns:xm="http://schemas.microsoft.com/office/excel/2006/main">
          <x14:cfRule type="containsText" priority="18" operator="containsText" id="{6EAE5B84-F778-418F-A1B7-BC9BA100112D}">
            <xm:f>NOT(ISERROR(SEARCH(Restrictions!$B$1,F86)))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F86:G89</xm:sqref>
        </x14:conditionalFormatting>
        <x14:conditionalFormatting xmlns:xm="http://schemas.microsoft.com/office/excel/2006/main">
          <x14:cfRule type="containsText" priority="4" operator="containsText" id="{92DA3367-8274-43B1-9D44-4835DCEB0E0B}">
            <xm:f>NOT(ISERROR(SEARCH(Restrictions!$B$1,F91)))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F91:G92</xm:sqref>
        </x14:conditionalFormatting>
        <x14:conditionalFormatting xmlns:xm="http://schemas.microsoft.com/office/excel/2006/main">
          <x14:cfRule type="containsText" priority="2" operator="containsText" id="{F4DDEC4D-7298-464C-A521-1EDC13E32A16}">
            <xm:f>NOT(ISERROR(SEARCH(Restrictions!$B$1,F94)))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F94:G95</xm:sqref>
        </x14:conditionalFormatting>
        <x14:conditionalFormatting xmlns:xm="http://schemas.microsoft.com/office/excel/2006/main">
          <x14:cfRule type="cellIs" priority="101" operator="equal" id="{C81CB296-EBDE-4E68-996A-22E647E300C9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G11:G12</xm:sqref>
        </x14:conditionalFormatting>
        <x14:conditionalFormatting xmlns:xm="http://schemas.microsoft.com/office/excel/2006/main">
          <x14:cfRule type="cellIs" priority="100" operator="equal" id="{C6523CE4-984A-4BEA-B850-BBE212DEC1BD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cellIs" priority="99" operator="equal" id="{34CA0963-7227-4B81-A491-AF5EBF6948E0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G16:G18</xm:sqref>
        </x14:conditionalFormatting>
        <x14:conditionalFormatting xmlns:xm="http://schemas.microsoft.com/office/excel/2006/main">
          <x14:cfRule type="cellIs" priority="98" operator="equal" id="{0137ED0B-0223-4A2D-BBA6-66B7E7B0177B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G20:G21</xm:sqref>
        </x14:conditionalFormatting>
        <x14:conditionalFormatting xmlns:xm="http://schemas.microsoft.com/office/excel/2006/main">
          <x14:cfRule type="cellIs" priority="97" operator="equal" id="{0559BE0C-06E8-4BF0-855B-46B347A65A43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G23</xm:sqref>
        </x14:conditionalFormatting>
        <x14:conditionalFormatting xmlns:xm="http://schemas.microsoft.com/office/excel/2006/main">
          <x14:cfRule type="cellIs" priority="96" operator="equal" id="{A10A680C-18B8-4576-98EE-F30E41E55578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G25</xm:sqref>
        </x14:conditionalFormatting>
        <x14:conditionalFormatting xmlns:xm="http://schemas.microsoft.com/office/excel/2006/main">
          <x14:cfRule type="cellIs" priority="95" operator="equal" id="{EE200D4C-87A3-41C0-AADC-DBA0F1BBC7B2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G27:G28</xm:sqref>
        </x14:conditionalFormatting>
        <x14:conditionalFormatting xmlns:xm="http://schemas.microsoft.com/office/excel/2006/main">
          <x14:cfRule type="cellIs" priority="94" operator="equal" id="{11814DC1-0D86-496F-AEC1-5E73F0134CB6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G32</xm:sqref>
        </x14:conditionalFormatting>
        <x14:conditionalFormatting xmlns:xm="http://schemas.microsoft.com/office/excel/2006/main">
          <x14:cfRule type="cellIs" priority="79" operator="equal" id="{267A3B51-36A4-44DF-B2E6-F06E71682E5F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G39</xm:sqref>
        </x14:conditionalFormatting>
        <x14:conditionalFormatting xmlns:xm="http://schemas.microsoft.com/office/excel/2006/main">
          <x14:cfRule type="cellIs" priority="78" operator="equal" id="{0FA35E81-D3C4-44FE-9341-C74ABA01B1FF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G42</xm:sqref>
        </x14:conditionalFormatting>
        <x14:conditionalFormatting xmlns:xm="http://schemas.microsoft.com/office/excel/2006/main">
          <x14:cfRule type="cellIs" priority="77" operator="equal" id="{E1E75134-FA7A-4AB7-9C7B-BBBAB5BA6AE8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G44</xm:sqref>
        </x14:conditionalFormatting>
        <x14:conditionalFormatting xmlns:xm="http://schemas.microsoft.com/office/excel/2006/main">
          <x14:cfRule type="cellIs" priority="51" operator="equal" id="{7506C776-F73B-475A-A848-0E98C716D28F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G53</xm:sqref>
        </x14:conditionalFormatting>
        <x14:conditionalFormatting xmlns:xm="http://schemas.microsoft.com/office/excel/2006/main">
          <x14:cfRule type="cellIs" priority="50" operator="equal" id="{EEDBCFEE-8EE0-4370-A603-3DD0D0A3C004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G55</xm:sqref>
        </x14:conditionalFormatting>
        <x14:conditionalFormatting xmlns:xm="http://schemas.microsoft.com/office/excel/2006/main">
          <x14:cfRule type="cellIs" priority="49" operator="equal" id="{EBD16DC6-D1FA-4FC5-B74B-CA3CF0413675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G57:G58</xm:sqref>
        </x14:conditionalFormatting>
        <x14:conditionalFormatting xmlns:xm="http://schemas.microsoft.com/office/excel/2006/main">
          <x14:cfRule type="cellIs" priority="48" operator="equal" id="{CB5C53FD-3D5D-4030-A78E-D6ACDDA5D5F7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47" operator="equal" id="{28414CE1-4551-493E-98F2-E4708C3326DE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46" operator="equal" id="{19A160C2-6897-43F9-AB25-0B60E506490B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G71</xm:sqref>
        </x14:conditionalFormatting>
        <x14:conditionalFormatting xmlns:xm="http://schemas.microsoft.com/office/excel/2006/main">
          <x14:cfRule type="cellIs" priority="21" operator="equal" id="{C198F442-0CED-465D-B844-BD476FA91AED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G76:G84</xm:sqref>
        </x14:conditionalFormatting>
        <x14:conditionalFormatting xmlns:xm="http://schemas.microsoft.com/office/excel/2006/main">
          <x14:cfRule type="cellIs" priority="19" operator="equal" id="{B78ED6C4-4FF5-4C26-8AB0-814AD0D37A32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G86:G87</xm:sqref>
        </x14:conditionalFormatting>
        <x14:conditionalFormatting xmlns:xm="http://schemas.microsoft.com/office/excel/2006/main">
          <x14:cfRule type="cellIs" priority="17" operator="equal" id="{5241F369-7025-4EA1-9AA0-9B9DA72E1877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G89</xm:sqref>
        </x14:conditionalFormatting>
        <x14:conditionalFormatting xmlns:xm="http://schemas.microsoft.com/office/excel/2006/main">
          <x14:cfRule type="cellIs" priority="3" operator="equal" id="{BC362F27-3F33-4955-B3E6-521CFD463846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G91:G92</xm:sqref>
        </x14:conditionalFormatting>
        <x14:conditionalFormatting xmlns:xm="http://schemas.microsoft.com/office/excel/2006/main">
          <x14:cfRule type="cellIs" priority="1" operator="equal" id="{F36AC5F6-B024-4CC2-9E60-F561F2DD8C64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G94:G95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11ED1A-D9E7-4F6F-A32A-17EE6B774A99}">
          <x14:formula1>
            <xm:f>Restrictions!$A$1:$D$1</xm:f>
          </x14:formula1>
          <xm:sqref>E1:E4 E6:E8 E10:E14 E16:E18 E20:E21 E97:E1048576 E27:E29 E23:E25 E31:E39 E41:E42 E44 E46:E51 E71:E74 E53:E55 E60:E63 E57:E58 E65:E69 E76:E84 E86:E89 E94:E95 E91:E92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5185-8505-495A-B1CC-27F1C88988D0}">
  <dimension ref="A1:D1"/>
  <sheetViews>
    <sheetView workbookViewId="0"/>
  </sheetViews>
  <sheetFormatPr baseColWidth="10" defaultRowHeight="13.5" x14ac:dyDescent="0.25"/>
  <sheetData>
    <row r="1" spans="1:4" x14ac:dyDescent="0.25">
      <c r="A1" t="s">
        <v>9</v>
      </c>
      <c r="B1" t="s">
        <v>20</v>
      </c>
      <c r="C1" t="s">
        <v>10</v>
      </c>
      <c r="D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5B8F5EAAC22C48A11F5D9A60E6F21D" ma:contentTypeVersion="16" ma:contentTypeDescription="Crée un document." ma:contentTypeScope="" ma:versionID="f2b963976306cc54294b7f4545a3c6c4">
  <xsd:schema xmlns:xsd="http://www.w3.org/2001/XMLSchema" xmlns:xs="http://www.w3.org/2001/XMLSchema" xmlns:p="http://schemas.microsoft.com/office/2006/metadata/properties" xmlns:ns2="a1b10758-7132-46a4-a2fe-7a2cf46f51f4" xmlns:ns3="f7d9f5a6-831d-4621-8c77-cbcaf993e406" targetNamespace="http://schemas.microsoft.com/office/2006/metadata/properties" ma:root="true" ma:fieldsID="e5e135fa2fc1295e1586ddcd9c1a8904" ns2:_="" ns3:_="">
    <xsd:import namespace="a1b10758-7132-46a4-a2fe-7a2cf46f51f4"/>
    <xsd:import namespace="f7d9f5a6-831d-4621-8c77-cbcaf993e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10758-7132-46a4-a2fe-7a2cf46f51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9f5a6-831d-4621-8c77-cbcaf993e40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5ae18fe-e647-4d3d-978d-a159861f0a34}" ma:internalName="TaxCatchAll" ma:showField="CatchAllData" ma:web="f7d9f5a6-831d-4621-8c77-cbcaf993e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b10758-7132-46a4-a2fe-7a2cf46f51f4">
      <Terms xmlns="http://schemas.microsoft.com/office/infopath/2007/PartnerControls"/>
    </lcf76f155ced4ddcb4097134ff3c332f>
    <TaxCatchAll xmlns="f7d9f5a6-831d-4621-8c77-cbcaf993e40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597E6F-FA73-4A07-893F-099FDC15B6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10758-7132-46a4-a2fe-7a2cf46f51f4"/>
    <ds:schemaRef ds:uri="f7d9f5a6-831d-4621-8c77-cbcaf993e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6F7E92-72FE-4C94-B42F-AE9EA593DE95}">
  <ds:schemaRefs>
    <ds:schemaRef ds:uri="http://schemas.microsoft.com/office/2006/metadata/properties"/>
    <ds:schemaRef ds:uri="http://schemas.microsoft.com/office/infopath/2007/PartnerControls"/>
    <ds:schemaRef ds:uri="a1b10758-7132-46a4-a2fe-7a2cf46f51f4"/>
    <ds:schemaRef ds:uri="f7d9f5a6-831d-4621-8c77-cbcaf993e406"/>
  </ds:schemaRefs>
</ds:datastoreItem>
</file>

<file path=customXml/itemProps3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</vt:lpstr>
      <vt:lpstr>Restrictions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T_CraftMeUp_NeoDarbellay</dc:title>
  <dc:subject>Journal de travail</dc:subject>
  <dc:creator>Néo Darbellay</dc:creator>
  <cp:keywords/>
  <dc:description/>
  <cp:lastModifiedBy>Néo Darbellay</cp:lastModifiedBy>
  <cp:revision/>
  <dcterms:created xsi:type="dcterms:W3CDTF">1996-10-21T11:03:58Z</dcterms:created>
  <dcterms:modified xsi:type="dcterms:W3CDTF">2026-03-17T09:33:50Z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0x0101005A5B8F5EAAC22C48A11F5D9A60E6F21D</vt:lpwstr>
  </property>
</Properties>
</file>